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heyi\Projects\HeyinkMeals\import\"/>
    </mc:Choice>
  </mc:AlternateContent>
  <xr:revisionPtr revIDLastSave="0" documentId="13_ncr:1_{A85FB0B6-034A-4FE4-9890-CA76BF23F935}" xr6:coauthVersionLast="47" xr6:coauthVersionMax="47" xr10:uidLastSave="{00000000-0000-0000-0000-000000000000}"/>
  <bookViews>
    <workbookView xWindow="-120" yWindow="-120" windowWidth="29040" windowHeight="15720" xr2:uid="{396531AE-A036-475C-A2F5-829993F4DACA}"/>
  </bookViews>
  <sheets>
    <sheet name="Sheet1" sheetId="1" r:id="rId1"/>
  </sheets>
  <externalReferences>
    <externalReference r:id="rId2"/>
  </externalReferences>
  <calcPr calcId="191029" calcCompleted="0"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6" i="1" l="1"/>
  <c r="F66" i="1"/>
  <c r="E66" i="1"/>
  <c r="D66" i="1"/>
  <c r="C66" i="1"/>
  <c r="B66" i="1"/>
  <c r="G65" i="1"/>
  <c r="F65" i="1"/>
  <c r="E65" i="1"/>
  <c r="D65" i="1"/>
  <c r="C65" i="1"/>
  <c r="B65" i="1"/>
  <c r="G64" i="1"/>
  <c r="F64" i="1"/>
  <c r="E64" i="1"/>
  <c r="D64" i="1"/>
  <c r="C64" i="1"/>
  <c r="B64" i="1"/>
  <c r="G63" i="1"/>
  <c r="F63" i="1"/>
  <c r="E63" i="1"/>
  <c r="D63" i="1"/>
  <c r="C63" i="1"/>
  <c r="B63" i="1"/>
  <c r="G62" i="1"/>
  <c r="F62" i="1"/>
  <c r="E62" i="1"/>
  <c r="D62" i="1"/>
  <c r="C62" i="1"/>
  <c r="B62" i="1"/>
  <c r="G61" i="1"/>
  <c r="F61" i="1"/>
  <c r="E61" i="1"/>
  <c r="D61" i="1"/>
  <c r="C61" i="1"/>
  <c r="B61" i="1"/>
  <c r="G60" i="1"/>
  <c r="F60" i="1"/>
  <c r="E60" i="1"/>
  <c r="D60" i="1"/>
  <c r="C60" i="1"/>
  <c r="B60" i="1"/>
  <c r="G59" i="1"/>
  <c r="F59" i="1"/>
  <c r="E59" i="1"/>
  <c r="D59" i="1"/>
  <c r="C59" i="1"/>
  <c r="B59" i="1"/>
  <c r="G58" i="1"/>
  <c r="F58" i="1"/>
  <c r="E58" i="1"/>
  <c r="D58" i="1"/>
  <c r="C58" i="1"/>
  <c r="B58" i="1"/>
  <c r="G57" i="1"/>
  <c r="F57" i="1"/>
  <c r="E57" i="1"/>
  <c r="D57" i="1"/>
  <c r="C57" i="1"/>
  <c r="B57" i="1"/>
  <c r="G56" i="1"/>
  <c r="F56" i="1"/>
  <c r="E56" i="1"/>
  <c r="D56" i="1"/>
  <c r="C56" i="1"/>
  <c r="B56" i="1"/>
  <c r="G55" i="1"/>
  <c r="F55" i="1"/>
  <c r="E55" i="1"/>
  <c r="D55" i="1"/>
  <c r="C55" i="1"/>
  <c r="B55" i="1"/>
  <c r="G54" i="1"/>
  <c r="F54" i="1"/>
  <c r="E54" i="1"/>
  <c r="D54" i="1"/>
  <c r="C54" i="1"/>
  <c r="B54" i="1"/>
  <c r="G53" i="1"/>
  <c r="F53" i="1"/>
  <c r="E53" i="1"/>
  <c r="D53" i="1"/>
  <c r="C53" i="1"/>
  <c r="B53" i="1"/>
  <c r="G52" i="1"/>
  <c r="F52" i="1"/>
  <c r="E52" i="1"/>
  <c r="D52" i="1"/>
  <c r="C52" i="1"/>
  <c r="B52" i="1"/>
  <c r="G51" i="1"/>
  <c r="F51" i="1"/>
  <c r="E51" i="1"/>
  <c r="D51" i="1"/>
  <c r="C51" i="1"/>
  <c r="B51" i="1"/>
  <c r="G50" i="1"/>
  <c r="F50" i="1"/>
  <c r="E50" i="1"/>
  <c r="D50" i="1"/>
  <c r="C50" i="1"/>
  <c r="B50" i="1"/>
  <c r="G49" i="1"/>
  <c r="F49" i="1"/>
  <c r="E49" i="1"/>
  <c r="D49" i="1"/>
  <c r="C49" i="1"/>
  <c r="B49" i="1"/>
  <c r="G48" i="1"/>
  <c r="F48" i="1"/>
  <c r="E48" i="1"/>
  <c r="D48" i="1"/>
  <c r="C48" i="1"/>
  <c r="B48" i="1"/>
  <c r="G47" i="1"/>
  <c r="F47" i="1"/>
  <c r="E47" i="1"/>
  <c r="D47" i="1"/>
  <c r="C47" i="1"/>
  <c r="B47" i="1"/>
  <c r="G46" i="1"/>
  <c r="F46" i="1"/>
  <c r="E46" i="1"/>
  <c r="D46" i="1"/>
  <c r="C46" i="1"/>
  <c r="B46" i="1"/>
  <c r="G45" i="1"/>
  <c r="F45" i="1"/>
  <c r="E45" i="1"/>
  <c r="D45" i="1"/>
  <c r="C45" i="1"/>
  <c r="B45" i="1"/>
  <c r="G44" i="1"/>
  <c r="F44" i="1"/>
  <c r="E44" i="1"/>
  <c r="D44" i="1"/>
  <c r="C44" i="1"/>
  <c r="B44" i="1"/>
  <c r="G43" i="1"/>
  <c r="F43" i="1"/>
  <c r="E43" i="1"/>
  <c r="D43" i="1"/>
  <c r="C43" i="1"/>
  <c r="B43" i="1"/>
  <c r="G42" i="1"/>
  <c r="F42" i="1"/>
  <c r="E42" i="1"/>
  <c r="D42" i="1"/>
  <c r="C42" i="1"/>
  <c r="B42" i="1"/>
  <c r="G41" i="1"/>
  <c r="F41" i="1"/>
  <c r="E41" i="1"/>
  <c r="D41" i="1"/>
  <c r="C41" i="1"/>
  <c r="B41" i="1"/>
  <c r="G40" i="1"/>
  <c r="F40" i="1"/>
  <c r="E40" i="1"/>
  <c r="D40" i="1"/>
  <c r="C40" i="1"/>
  <c r="B40" i="1"/>
  <c r="G39" i="1"/>
  <c r="F39" i="1"/>
  <c r="E39" i="1"/>
  <c r="D39" i="1"/>
  <c r="C39" i="1"/>
  <c r="B39" i="1"/>
  <c r="G38" i="1"/>
  <c r="F38" i="1"/>
  <c r="E38" i="1"/>
  <c r="D38" i="1"/>
  <c r="C38" i="1"/>
  <c r="B38" i="1"/>
  <c r="G37" i="1"/>
  <c r="F37" i="1"/>
  <c r="E37" i="1"/>
  <c r="D37" i="1"/>
  <c r="C37" i="1"/>
  <c r="B37" i="1"/>
  <c r="G36" i="1"/>
  <c r="F36" i="1"/>
  <c r="E36" i="1"/>
  <c r="D36" i="1"/>
  <c r="C36" i="1"/>
  <c r="B36" i="1"/>
  <c r="G35" i="1"/>
  <c r="F35" i="1"/>
  <c r="E35" i="1"/>
  <c r="D35" i="1"/>
  <c r="C35" i="1"/>
  <c r="B35" i="1"/>
  <c r="G34" i="1"/>
  <c r="F34" i="1"/>
  <c r="E34" i="1"/>
  <c r="D34" i="1"/>
  <c r="C34" i="1"/>
  <c r="B34" i="1"/>
  <c r="G33" i="1"/>
  <c r="F33" i="1"/>
  <c r="E33" i="1"/>
  <c r="D33" i="1"/>
  <c r="C33" i="1"/>
  <c r="B33" i="1"/>
  <c r="G32" i="1"/>
  <c r="F32" i="1"/>
  <c r="E32" i="1"/>
  <c r="D32" i="1"/>
  <c r="C32" i="1"/>
  <c r="B32" i="1"/>
  <c r="G31" i="1"/>
  <c r="F31" i="1"/>
  <c r="E31" i="1"/>
  <c r="D31" i="1"/>
  <c r="C31" i="1"/>
  <c r="B31" i="1"/>
  <c r="G30" i="1"/>
  <c r="F30" i="1"/>
  <c r="E30" i="1"/>
  <c r="D30" i="1"/>
  <c r="C30" i="1"/>
  <c r="B30" i="1"/>
  <c r="G29" i="1"/>
  <c r="F29" i="1"/>
  <c r="E29" i="1"/>
  <c r="D29" i="1"/>
  <c r="C29" i="1"/>
  <c r="B29" i="1"/>
  <c r="G28" i="1"/>
  <c r="F28" i="1"/>
  <c r="E28" i="1"/>
  <c r="D28" i="1"/>
  <c r="C28" i="1"/>
  <c r="B28" i="1"/>
  <c r="G27" i="1"/>
  <c r="F27" i="1"/>
  <c r="E27" i="1"/>
  <c r="D27" i="1"/>
  <c r="C27" i="1"/>
  <c r="B27" i="1"/>
  <c r="G26" i="1"/>
  <c r="F26" i="1"/>
  <c r="E26" i="1"/>
  <c r="D26" i="1"/>
  <c r="C26" i="1"/>
  <c r="B26" i="1"/>
  <c r="G25" i="1"/>
  <c r="F25" i="1"/>
  <c r="E25" i="1"/>
  <c r="D25" i="1"/>
  <c r="C25" i="1"/>
  <c r="B25" i="1"/>
  <c r="G24" i="1"/>
  <c r="F24" i="1"/>
  <c r="E24" i="1"/>
  <c r="D24" i="1"/>
  <c r="C24" i="1"/>
  <c r="B24" i="1"/>
  <c r="G23" i="1"/>
  <c r="F23" i="1"/>
  <c r="E23" i="1"/>
  <c r="D23" i="1"/>
  <c r="C23" i="1"/>
  <c r="B23" i="1"/>
  <c r="G22" i="1"/>
  <c r="F22" i="1"/>
  <c r="E22" i="1"/>
  <c r="D22" i="1"/>
  <c r="C22" i="1"/>
  <c r="B22" i="1"/>
  <c r="G21" i="1"/>
  <c r="F21" i="1"/>
  <c r="E21" i="1"/>
  <c r="D21" i="1"/>
  <c r="C21" i="1"/>
  <c r="B21" i="1"/>
  <c r="G20" i="1"/>
  <c r="F20" i="1"/>
  <c r="E20" i="1"/>
  <c r="D20" i="1"/>
  <c r="C20" i="1"/>
  <c r="B20" i="1"/>
  <c r="G19" i="1"/>
  <c r="F19" i="1"/>
  <c r="E19" i="1"/>
  <c r="D19" i="1"/>
  <c r="C19" i="1"/>
  <c r="B19" i="1"/>
  <c r="G18" i="1"/>
  <c r="F18" i="1"/>
  <c r="E18" i="1"/>
  <c r="D18" i="1"/>
  <c r="C18" i="1"/>
  <c r="B18" i="1"/>
  <c r="G17" i="1"/>
  <c r="F17" i="1"/>
  <c r="E17" i="1"/>
  <c r="D17" i="1"/>
  <c r="C17" i="1"/>
  <c r="B17" i="1"/>
  <c r="G16" i="1"/>
  <c r="F16" i="1"/>
  <c r="E16" i="1"/>
  <c r="D16" i="1"/>
  <c r="C16" i="1"/>
  <c r="B16" i="1"/>
  <c r="G15" i="1"/>
  <c r="F15" i="1"/>
  <c r="E15" i="1"/>
  <c r="D15" i="1"/>
  <c r="C15" i="1"/>
  <c r="B15" i="1"/>
  <c r="G14" i="1"/>
  <c r="F14" i="1"/>
  <c r="E14" i="1"/>
  <c r="D14" i="1"/>
  <c r="C14" i="1"/>
  <c r="B14" i="1"/>
  <c r="G13" i="1"/>
  <c r="F13" i="1"/>
  <c r="E13" i="1"/>
  <c r="D13" i="1"/>
  <c r="C13" i="1"/>
  <c r="B13" i="1"/>
  <c r="G12" i="1"/>
  <c r="F12" i="1"/>
  <c r="E12" i="1"/>
  <c r="D12" i="1"/>
  <c r="C12" i="1"/>
  <c r="B12" i="1"/>
  <c r="G11" i="1"/>
  <c r="F11" i="1"/>
  <c r="E11" i="1"/>
  <c r="D11" i="1"/>
  <c r="C11" i="1"/>
  <c r="B11" i="1"/>
  <c r="G10" i="1"/>
  <c r="F10" i="1"/>
  <c r="E10" i="1"/>
  <c r="D10" i="1"/>
  <c r="C10" i="1"/>
  <c r="B10" i="1"/>
  <c r="G9" i="1"/>
  <c r="F9" i="1"/>
  <c r="E9" i="1"/>
  <c r="D9" i="1"/>
  <c r="C9" i="1"/>
  <c r="B9" i="1"/>
  <c r="G8" i="1"/>
  <c r="F8" i="1"/>
  <c r="E8" i="1"/>
  <c r="D8" i="1"/>
  <c r="C8" i="1"/>
  <c r="B8" i="1"/>
  <c r="G7" i="1"/>
  <c r="F7" i="1"/>
  <c r="E7" i="1"/>
  <c r="D7" i="1"/>
  <c r="C7" i="1"/>
  <c r="B7" i="1"/>
  <c r="G6" i="1"/>
  <c r="F6" i="1"/>
  <c r="E6" i="1"/>
  <c r="D6" i="1"/>
  <c r="C6" i="1"/>
  <c r="B6" i="1"/>
  <c r="G5" i="1"/>
  <c r="F5" i="1"/>
  <c r="E5" i="1"/>
  <c r="D5" i="1"/>
  <c r="C5" i="1"/>
  <c r="B5" i="1"/>
  <c r="G4" i="1"/>
  <c r="F4" i="1"/>
  <c r="E4" i="1"/>
  <c r="D4" i="1"/>
  <c r="C4" i="1"/>
  <c r="B4" i="1"/>
</calcChain>
</file>

<file path=xl/sharedStrings.xml><?xml version="1.0" encoding="utf-8"?>
<sst xmlns="http://schemas.openxmlformats.org/spreadsheetml/2006/main" count="74" uniqueCount="73">
  <si>
    <t>name</t>
  </si>
  <si>
    <t>Banana Pancakes</t>
  </si>
  <si>
    <t>Peanut Butter Bars</t>
  </si>
  <si>
    <t>Pumpkin &amp; Ginger Soup</t>
  </si>
  <si>
    <t>Slow Cooked Aubergine and Coconut Curry</t>
  </si>
  <si>
    <t>Mexican Street Corn</t>
  </si>
  <si>
    <t>Chocolate Chickpea &amp; Coconut Bark</t>
  </si>
  <si>
    <t>Simple Baked Fish</t>
  </si>
  <si>
    <t>Roasted Cauliflower &amp; Peas (Gio’s)</t>
  </si>
  <si>
    <t>Mango Granita</t>
  </si>
  <si>
    <t>Hot chocolate</t>
  </si>
  <si>
    <t>Peanut Butter Freezer Fudge</t>
  </si>
  <si>
    <t>Mark's Magic Mushroom Sauce</t>
  </si>
  <si>
    <t>Chili Garlic Broccolini</t>
  </si>
  <si>
    <t>Green Goddess Panini</t>
  </si>
  <si>
    <t>Nut &amp; Seed Granola</t>
  </si>
  <si>
    <t>Caramelised Onion &amp; Pumpkin Frittata</t>
  </si>
  <si>
    <t>Crispy Gnocchi with Parmesan Pea Purée</t>
  </si>
  <si>
    <t>Classic Italian Tiramisu</t>
  </si>
  <si>
    <t>Green Goddess Pasta</t>
  </si>
  <si>
    <t>Greenland Quesadillas</t>
  </si>
  <si>
    <t>Vegan Macaroni Cheese</t>
  </si>
  <si>
    <t>Banana Bread</t>
  </si>
  <si>
    <t>Prawn Linguine</t>
  </si>
  <si>
    <t>Smoky Tomato &amp; Halloumi Bake</t>
  </si>
  <si>
    <t>Winter White Cheese Board</t>
  </si>
  <si>
    <t>Prawn, Chilli and Creme Fraiche Pasta</t>
  </si>
  <si>
    <t>Mexican Stuffed Sweet Potatoes</t>
  </si>
  <si>
    <t>Vegan Mediterranean Pasta</t>
  </si>
  <si>
    <t>Pesto Couscous Salad</t>
  </si>
  <si>
    <t>One Pan Spinach and Artichoke Orzo Bake</t>
  </si>
  <si>
    <t>Orzo with prawns, tomato and marinated feta</t>
  </si>
  <si>
    <t>Puttanesca Baked Fish</t>
  </si>
  <si>
    <t>Thai Steamed Fish Pocket</t>
  </si>
  <si>
    <t>Cashew Pesto Pasta</t>
  </si>
  <si>
    <t>Caprese Pesto Tarts</t>
  </si>
  <si>
    <t>Spaghetti &amp; Mushroom Bolognase</t>
  </si>
  <si>
    <t>Green haloumi salad with toasted almonds and dairy free pesto</t>
  </si>
  <si>
    <t>Steak &amp; Chimichurri Bean Salad</t>
  </si>
  <si>
    <t>Chimichurri Fish Tacos</t>
  </si>
  <si>
    <t>Asian Slaw with Sesame Ginger Dressing</t>
  </si>
  <si>
    <t>Fish Tacos (Natasha’s)</t>
  </si>
  <si>
    <t>Spicy Sesame Carrot Soup with Red Lentils</t>
  </si>
  <si>
    <t>Palak Paneer (Halloumi)</t>
  </si>
  <si>
    <t>Crunchy Mexican Salad</t>
  </si>
  <si>
    <t>Green Quinoa Risotto</t>
  </si>
  <si>
    <t>Green Vegan Salad</t>
  </si>
  <si>
    <t>Ginger Sweet Potato &amp; Coconut Milk Stew</t>
  </si>
  <si>
    <t>Spinach and Feta Pie with an Oat Crust</t>
  </si>
  <si>
    <t>Cheesy Brinjal Bake</t>
  </si>
  <si>
    <t>Roasted Butternut Squash and Chickpea Curry</t>
  </si>
  <si>
    <t>Beach Bum Chili</t>
  </si>
  <si>
    <t>Butter Chickpeas</t>
  </si>
  <si>
    <t>Creamy Roasted Squash Dahl</t>
  </si>
  <si>
    <t>Thai Green Curry</t>
  </si>
  <si>
    <t>Thai Coconut Shrimp Curry</t>
  </si>
  <si>
    <t>Chickpea Pancakes</t>
  </si>
  <si>
    <t>Carrot Cake Energy Balls</t>
  </si>
  <si>
    <t>Chickpea Crunch Bars</t>
  </si>
  <si>
    <t>Salted Caramel Almond Butter Bites</t>
  </si>
  <si>
    <t>Pancakes</t>
  </si>
  <si>
    <t>Vegan Nutella</t>
  </si>
  <si>
    <t>Frozen Banana Snickers</t>
  </si>
  <si>
    <t>Vanilla Soft Serve Coconut Nice’Cream</t>
  </si>
  <si>
    <t>Chocolate Chip Cookies</t>
  </si>
  <si>
    <t>Broccoli Flatbread</t>
  </si>
  <si>
    <t>instructions</t>
  </si>
  <si>
    <t>servings</t>
  </si>
  <si>
    <t>prep_time_minutes</t>
  </si>
  <si>
    <t>cook_time_minutes</t>
  </si>
  <si>
    <t>total_time_mins</t>
  </si>
  <si>
    <t>web_source</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</si>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</sst>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heyi\Downloads\groceryListItems.xlsx" TargetMode="External"/><Relationship Id="rId1" Type="http://schemas.openxmlformats.org/officeDocument/2006/relationships/externalLinkPath" Target="/Users/mheyi/Downloads/groceryListIte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ores"/>
      <sheetName val="grocery_categories"/>
      <sheetName val="grocery_types"/>
      <sheetName val="grocery_lists"/>
      <sheetName val="grocery_list_items"/>
      <sheetName val="recipes"/>
      <sheetName val="Sheet8"/>
      <sheetName val="Sheet1"/>
    </sheetNames>
    <sheetDataSet>
      <sheetData sheetId="0" refreshError="1"/>
      <sheetData sheetId="1" refreshError="1"/>
      <sheetData sheetId="2" refreshError="1"/>
      <sheetData sheetId="3" refreshError="1"/>
      <sheetData sheetId="4"/>
      <sheetData sheetId="5">
        <row r="1">
          <cell r="B1" t="str">
            <v>instructions</v>
          </cell>
          <cell r="C1" t="str">
            <v>servings</v>
          </cell>
          <cell r="D1" t="str">
            <v>prep_time_minutes</v>
          </cell>
          <cell r="E1" t="str">
            <v>cook_time_minutes</v>
          </cell>
          <cell r="F1" t="str">
            <v>total_time_mins</v>
          </cell>
          <cell r="G1" t="str">
            <v>web_source</v>
          </cell>
        </row>
      </sheetData>
      <sheetData sheetId="6">
        <row r="1">
          <cell r="B1" t="str">
            <v>name</v>
          </cell>
          <cell r="C1" t="str">
            <v>servings</v>
          </cell>
          <cell r="D1" t="str">
            <v>prep_time_minutes</v>
          </cell>
          <cell r="E1" t="str">
            <v>cook_time_minutes</v>
          </cell>
          <cell r="F1" t="str">
            <v>total_time_mins</v>
          </cell>
          <cell r="G1" t="str">
            <v>web_source</v>
          </cell>
          <cell r="H1" t="str">
            <v>instructions</v>
          </cell>
        </row>
        <row r="2">
          <cell r="B2" t="str">
            <v>Green Goddess Pasta</v>
          </cell>
          <cell r="C2">
            <v>4</v>
          </cell>
          <cell r="F2" t="str">
            <v/>
          </cell>
          <cell r="G2" t="str">
            <v>https://www.instagram.com/p/DDJuFm1Srq8/</v>
          </cell>
          <cell r="H2" t="str">
            <v>Place a medium, saucepan over a medium/high heat, add the olive oil leek, garlic, and a good pinch of salt. Cook this stirring for 4-5 minutes, stirring often.
Add the baby spinach, peas and cook another 2 minutes, to wilt the spinach and defrost the peas.
Transfer ¾ of the veggie mix to a blender, keep the remainder in the pot, set aside.
Add half the 1/3 of the cottage cheese to the blender along with the vegetable stock, blending to a smooth sauce.
Bring a large pan of lightly salted water to the boil and add the pasta, cooking according to packet instructions.
Add the snap peas to the pasta for the last minute of cooking then drain both, reserving ½ cup pasta water.
Add the pasta back to the pan with reserved veggies. Pour over the sauce and stir through to combine well, using a little pasta water if needed to thin out.
Season to taste and serve, topped with remaining cottage cheese and a crack of black pepper.</v>
          </cell>
        </row>
        <row r="3">
          <cell r="B3" t="str">
            <v>Fish Tacos (Natasha’s)</v>
          </cell>
          <cell r="C3">
            <v>2</v>
          </cell>
          <cell r="F3" t="str">
            <v/>
          </cell>
          <cell r="G3" t="str">
            <v>https://natashaskitchen.com/fish-tacos-recipe/</v>
          </cell>
          <cell r="H3" t="str">
            <v/>
          </cell>
        </row>
        <row r="4">
          <cell r="B4" t="str">
            <v>Steak &amp; Chimichurri Bean Salad</v>
          </cell>
          <cell r="C4">
            <v>4</v>
          </cell>
          <cell r="F4" t="str">
            <v/>
          </cell>
          <cell r="G4" t="str">
            <v/>
          </cell>
          <cell r="H4" t="str">
            <v/>
          </cell>
        </row>
        <row r="5">
          <cell r="B5" t="str">
            <v>Greenland Quesadillas</v>
          </cell>
          <cell r="C5">
            <v>2</v>
          </cell>
          <cell r="F5" t="str">
            <v/>
          </cell>
          <cell r="G5" t="str">
            <v/>
          </cell>
          <cell r="H5" t="str">
            <v/>
          </cell>
        </row>
        <row r="6">
          <cell r="B6" t="str">
            <v>Beef Lasagne</v>
          </cell>
          <cell r="C6">
            <v>2</v>
          </cell>
          <cell r="F6" t="str">
            <v/>
          </cell>
          <cell r="G6" t="str">
            <v/>
          </cell>
          <cell r="H6" t="str">
            <v/>
          </cell>
        </row>
        <row r="7">
          <cell r="B7" t="str">
            <v>Chickpea Pancakes</v>
          </cell>
          <cell r="C7" t="str">
            <v/>
          </cell>
          <cell r="F7" t="str">
            <v/>
          </cell>
          <cell r="G7" t="str">
            <v/>
          </cell>
          <cell r="H7" t="str">
            <v>Mash bananas.
Beat eggs.
Combine all ingredients.
Fry in coconut oil.
Serve with yoghurt and peaches.</v>
          </cell>
        </row>
        <row r="8">
          <cell r="B8" t="str">
            <v>Caprese Pesto Tarts</v>
          </cell>
          <cell r="C8">
            <v>8</v>
          </cell>
          <cell r="F8">
            <v>30</v>
          </cell>
          <cell r="G8" t="str">
            <v>https://www.halfbakedharvest.com/caprese-pesto-tarts/</v>
          </cell>
          <cell r="H8" t="str">
            <v>1. Preheat the oven to 425° F. Line a baking sheet with parchment paper.
2. in a bowl, toss together the olive oil, tomatoes, thyme, oregano, garlic, chili flakes, salt, and pepper.
3. Cut each sheet of puff pastry into 4 squares. Spread each square with a tablespoons of pesto, leaving a 1/2 inch border. Sprinkle the cheese over the pesto. Arrange the tomatoes over the cheese.
4. Fold the edges of the pastry inward to enclose. Bake 15-20 minutes, until the pastry is golden and the cheese has melted. Break the burrata over the warm tomatoes, then spoon over the pesto. Top with fresh basil. Enjoy!</v>
          </cell>
        </row>
        <row r="9">
          <cell r="B9" t="str">
            <v>Carrot Cake Energy Balls</v>
          </cell>
          <cell r="C9">
            <v>12</v>
          </cell>
          <cell r="F9">
            <v>15</v>
          </cell>
          <cell r="G9" t="str">
            <v>https://choosingchia.com/carrot-cake-energy-balls/</v>
          </cell>
          <cell r="H9" t="str">
            <v>1. Add all the ingredients to a food processor and pulse until combined.
2. Scoop out some dough using a spoon and roll into balls. 
3. Roll each ball into the shredded coconut to coat. 
4. Place in the fridge to firm up for at least one hour.
Store these energy balls in the fridge for up to 2 weeks.</v>
          </cell>
        </row>
        <row r="10">
          <cell r="B10" t="str">
            <v>Chickpea Crunch Bars</v>
          </cell>
          <cell r="C10" t="str">
            <v/>
          </cell>
          <cell r="F10">
            <v>35</v>
          </cell>
          <cell r="G10" t="str">
            <v>https://wellbymelnutrition.com/chickpea-crunch-bars/</v>
          </cell>
          <cell r="H10" t="str">
            <v>1. Thoroughly rinse one 15oz can of chickpeas in a strainer. Pat the chickpeas dry using a towel.
2. Add the chickpeas to a bowl. To the bowl, add 1 tsp melted coconut oil. Mix the contents of the bowl until the chickpeas are evenly coated.
3. Evenly space the chickpeas across a baking dish. Bake at 400 degrees for about 30 minutes or until the chickpeas are crispy. Alternatively, air fry the chickpeas at 400 degrees for about 20-25 minutes or until the chickpeas are crispy. Remove the chickpeas from the oven and allow them to cool.
4. Melt the chocolate chips. Place the crispy chickpeas in a bread pan lined with parchment paper. Add the melted chocolate chips to the bread pan. Spread until evenly coated and top with a pinch of sea salt.
5. Place the bread pan in the fridge for about an hour or until the chocolate has completely hardened.
6. Once hardened, remove the chocolate from the bread pan and cut into bars.</v>
          </cell>
        </row>
        <row r="11">
          <cell r="B11" t="str">
            <v>Salted Caramel Almond Butter Bites</v>
          </cell>
          <cell r="C11" t="str">
            <v/>
          </cell>
          <cell r="F11" t="str">
            <v/>
          </cell>
          <cell r="G11" t="str">
            <v>https://figgindelicious.com/salted-caramel-almond-butter-bites/</v>
          </cell>
          <cell r="H11" t="str">
            <v>In a small saucepan, bring the coconut milk, maple syrup and vanilla extract to a boil. Cover and simmer for 20 minutes (or until mixture is golden brown and starts to thicken), stirring every few minutes. The mixture does not need to be thick like caramel for this recipe! 
Combine the caramel mixture with almond butter. Line a bread pan with parchment paper &amp; pour mixture evenly across bottom.
Freeze for 2-3 hours or until filling is hard enough to cut into squares. 
Cut into 24-30 small squares. Place back in the freezer while you melt the chocolate. Using a fork, dip each square in the melted chocolate and place on a baking sheet lined with parchment paper. Sprinkle with sea salt and place back in the freezer for ~1 hour.</v>
          </cell>
        </row>
        <row r="12">
          <cell r="B12" t="str">
            <v>Pancakes</v>
          </cell>
          <cell r="C12" t="str">
            <v/>
          </cell>
          <cell r="F12" t="str">
            <v/>
          </cell>
          <cell r="G12" t="str">
            <v/>
          </cell>
          <cell r="H12" t="str">
            <v>1. Mix the flour and chia seeds in a large bowl. Then add the almond milk, melted coconut oil and maple syrup; mix well, until a smooth batter forms. Set the batter aside for 4-5 minutes to thicken a little.
2. Next, warm some coconut oil in a pan over medium heat. Once the pan is hot, add a large spoonful of batter to the pan, moving the pan around (it needed) to make a pancake shape.
3. As the pancake begins to set, sprinkle some fresh blueberries on top and cook for 3-5 minutes, until the bottom feels cooked. Flip and cook on the other side, until cooked through.</v>
          </cell>
        </row>
        <row r="13">
          <cell r="B13" t="str">
            <v>Vegan Nutella</v>
          </cell>
          <cell r="C13">
            <v>10</v>
          </cell>
          <cell r="F13" t="str">
            <v/>
          </cell>
          <cell r="G13" t="str">
            <v/>
          </cell>
          <cell r="H13" t="str">
            <v>1. Drain, rinse and dry the chickpeas.
2. Roast at 220 degree Celsius for 30 mins.
3. Blend with other ingredients (hot water).
4. Store in the fridge.</v>
          </cell>
        </row>
        <row r="14">
          <cell r="B14" t="str">
            <v>Mike's Gio's Sandwich</v>
          </cell>
          <cell r="C14">
            <v>1</v>
          </cell>
          <cell r="F14" t="str">
            <v/>
          </cell>
          <cell r="G14" t="str">
            <v/>
          </cell>
          <cell r="H14" t="str">
            <v/>
          </cell>
        </row>
        <row r="15">
          <cell r="B15" t="str">
            <v>Prawn, Chilli and Creme Fraiche Pasta</v>
          </cell>
          <cell r="C15">
            <v>2</v>
          </cell>
          <cell r="F15" t="str">
            <v/>
          </cell>
          <cell r="G15" t="str">
            <v>https://www.instagram.com/p/C5QYDb8MHzB/</v>
          </cell>
          <cell r="H15" t="str">
            <v>1. Defrost the prawns by thawing and then get rid of excess water - Marinate the prawns with the birds eye chilli, garlic, zest and juice of 1 lemon and salt. Refrigerate for 30 minutes
2. Boil pasta in salted water as per instructions on the packet. Cook until al la dente, drain the water. Reserve some of the pasta water to add to the final dish.
3. Heat one tablespoon butter, with a few drops of oil, in a pan and flash fry half the prawns in 2, 30 seconds on each side. Add another tablespoon of butter and fry remaining prawns. Transfer to a bowl and set aside
4. Fry the chopped onion and a little more garlic on low until onions are soft and translucent, add the tomato mix, cook for 2 mins, then add creme fraiche and simmer a little, about another minute, then turn off the heat and add the grated Parmesan- Leave some to top
5. Add prawns to the sauce and let it heat through. Add some of the pasta water. Drizzle more lemon juice into the pasta
6. Divide pasta into pasta bowls and add the prawn sauce on top. Garnish with parsley and add some parmesan if you like.</v>
          </cell>
        </row>
        <row r="16">
          <cell r="B16" t="str">
            <v>Breakfast Croissants</v>
          </cell>
          <cell r="C16">
            <v>4</v>
          </cell>
          <cell r="F16" t="str">
            <v/>
          </cell>
          <cell r="G16" t="str">
            <v/>
          </cell>
          <cell r="H16" t="str">
            <v/>
          </cell>
        </row>
        <row r="17">
          <cell r="B17" t="str">
            <v>Melanzane Parmigiana</v>
          </cell>
          <cell r="C17">
            <v>4</v>
          </cell>
          <cell r="F17" t="str">
            <v/>
          </cell>
          <cell r="G17" t="str">
            <v>https://frozenforyou.co.za/product/melanzane-parmigiana/</v>
          </cell>
          <cell r="H17" t="str">
            <v/>
          </cell>
        </row>
        <row r="18">
          <cell r="B18" t="str">
            <v>Parmesean &amp; Almond Salad</v>
          </cell>
          <cell r="C18">
            <v>4</v>
          </cell>
          <cell r="F18" t="str">
            <v/>
          </cell>
          <cell r="G18" t="str">
            <v/>
          </cell>
          <cell r="H18" t="str">
            <v/>
          </cell>
        </row>
        <row r="19">
          <cell r="B19" t="str">
            <v>Roasted Butternut Squash and Chickpea Curry</v>
          </cell>
          <cell r="C19">
            <v>4</v>
          </cell>
          <cell r="F19">
            <v>55</v>
          </cell>
          <cell r="G19" t="str">
            <v>https://cupfulofkale.com/vegan-roasted-butternut-squash-and-chickpea-curry/</v>
          </cell>
          <cell r="H19" t="str">
            <v>1. Preheat oven to 200C.
2. Cut butternut into roughly equal sized cubes about 1/2-1 inch.
3. Place on a large baking tray, drizzle generously with oil salt and pepper, toss and place in the oven for 35-40 minutes until soft through and starting to brown on the edges.
4. In the meantime, start the curry. Add coconut oil to a large pan on medium heat, once melted add finely chopped onion. Stir and fry for a few minutes then add crushed garlic and grated ginger. Leave to cook for a further minute.
5. Add all the spices - curry powder, garam masala, cumin, cumin seeds, turmeric and chilli powder. Cook for 30 seconds until fragrant, add a little more oil if needed so it doesn't burn.
6. Add the chopped tomatoes, coconut milk and vegetable stock. Bring to a gentle simmer and let cook for 10 minutes. Transfer to a bowl and blend with a hand blender till smooth, or a food processor. Transfer back to the pan.
7. Add the chickpeas and cook for a further 5-10 minutes, it should have thickened and be nice and creamy and orange in colour. Taste the sauce and season with salt and pepper. If you like it spicy you can add some extra chilli powder.
8. Add the roasted butternut squash, stir and serve! Top with some chopped fresh coriander and serve with basmati rice and your favourite sides - like my onion bhajis!</v>
          </cell>
        </row>
        <row r="20">
          <cell r="B20" t="str">
            <v>Aperol Spritz Lollies</v>
          </cell>
          <cell r="C20" t="str">
            <v/>
          </cell>
          <cell r="F20" t="str">
            <v/>
          </cell>
          <cell r="G20" t="str">
            <v>https://www.instagram.com/p/C1ZAsuSpxq1/</v>
          </cell>
          <cell r="H20" t="str">
            <v>Mix all ingredients together in a jug (3:3:2 parts). Pour into popsicle moulds. Freeze overnight or until completely frozen.</v>
          </cell>
        </row>
        <row r="21">
          <cell r="B21" t="str">
            <v>Mango Granita</v>
          </cell>
          <cell r="C21" t="str">
            <v/>
          </cell>
          <cell r="F21" t="str">
            <v/>
          </cell>
          <cell r="G21" t="str">
            <v>https://www.instagram.com/p/C3aez42Nf9R/</v>
          </cell>
          <cell r="H21" t="str">
            <v>1. Dish half a cup of yoghurt into a bowl.
2. Peel and grate the mango (which should be frozen).
3. Grate some lime/lemon zest.
4. Add chopped chocolate and mint with some cubed mango.</v>
          </cell>
        </row>
        <row r="22">
          <cell r="B22" t="str">
            <v>Caramelised Onion &amp; Pumpkin Frittata</v>
          </cell>
          <cell r="C22">
            <v>4</v>
          </cell>
          <cell r="F22" t="str">
            <v/>
          </cell>
          <cell r="G22" t="str">
            <v>https://www.instagram.com/p/C3qXj-zSiM8/</v>
          </cell>
          <cell r="H22" t="str">
            <v xml:space="preserve">Preheat the oven to 180°C. Line a baking tray with baking paper.
Arrange the pumpkin pieces on the baking tray. Drizzle with 2 tablespoons olive oil and season with sea salt and pepper. Place the tray in the oven to roast for 25 minutes.
Whilst the pumpkin is roasting, heat the remaining olive oil in a non-stick frying pan over a medium heat. Add the sliced onion to the pan and cook for 6-7 minutes until softened. Add the balsamic vinegar and coconut sugar and stir to coat. Reduce the heat slightly and cook for a further 7-8 minutes or until the onion is golden and caramelised.
Meanwhile, crack the eggs into a large mixing bowl and season with sea salt and black pepper. Whisk the egg mix until light and fluffy. Add in the chopped rosemary and whisk again.
Line a baking dish or quiche dish with baking paper. We used a 20cm by 30cm dish. Spread the shredded spinach leaves and half of the roasted pumpkin and onion across the base of the dish. Pour the egg mixture evenly over the top. Place the remaining pumpkin and onion on top of the egg mix. Crumble the goat’s cheese over the top.
Place the frittata in the oven to bake for 25 minutes.
Keep stored in an airtight container in the fridge for 4 days. 
Makes: 6-8 slices </v>
          </cell>
        </row>
        <row r="23">
          <cell r="B23" t="str">
            <v>One Pan Spinach and Artichoke Orzo Bake</v>
          </cell>
          <cell r="C23">
            <v>6</v>
          </cell>
          <cell r="F23">
            <v>35</v>
          </cell>
          <cell r="G23" t="str">
            <v>https://www.halfbakedharvest.com/spinach-and-artichoke-orzo-bake/</v>
          </cell>
          <cell r="H23" t="str">
            <v>1. Preheat the oven to 200° C.
2. In a 23×33 cm baking dish, combine the olive oil, garlic, onion, basil, paprika, chili flakes, salt, and pepper. Add the dry orzo, artichokes, and pesto. Pour over 2 1/4 cups of water and stir to combine. Place the spinach on top. Bake for 12-15 minutes, until most of the water has cooked into the pasta, but not all of it.
3. Stir the pasta around, then sprinkle the cheeses overtop. Bake another 10 minutes, until the cheese has melted and the sauce is bubbling. If there's a lot of oil from the pesto on top, drain off the excess. Top with fresh basil!</v>
          </cell>
        </row>
        <row r="24">
          <cell r="B24" t="str">
            <v>Mark's Magic Mushroom Sauce</v>
          </cell>
          <cell r="C24">
            <v>6</v>
          </cell>
          <cell r="F24" t="str">
            <v/>
          </cell>
          <cell r="G24" t="str">
            <v/>
          </cell>
          <cell r="H24" t="str">
            <v>1. Add butter to a frying pain and saute almonds until golden.
2. Then add mushrooms, the juice of half a lemon, 2T parsley, salt and pepper.
3. Cook gently over low heat until mushrooms are tender.
4. Stir in the cream and heat through.
5. Serve over fish with a sprinkle of parsley on top.</v>
          </cell>
        </row>
        <row r="25">
          <cell r="B25" t="str">
            <v>Caprese Salad</v>
          </cell>
          <cell r="C25">
            <v>6</v>
          </cell>
          <cell r="F25">
            <v>10</v>
          </cell>
          <cell r="G25" t="str">
            <v/>
          </cell>
          <cell r="H25" t="str">
            <v>Chop and combine.</v>
          </cell>
        </row>
        <row r="26">
          <cell r="B26" t="str">
            <v>Thai Coconut Shrimp Curry</v>
          </cell>
          <cell r="C26" t="str">
            <v/>
          </cell>
          <cell r="F26" t="str">
            <v/>
          </cell>
          <cell r="G26" t="str">
            <v>https://www.servingdumplings.com/recipes/thai-coconut-shrimp-curry/</v>
          </cell>
          <cell r="H26" t="str">
            <v/>
          </cell>
        </row>
        <row r="27">
          <cell r="B27" t="str">
            <v>Sriracha Egg Mayo Rolls</v>
          </cell>
          <cell r="C27">
            <v>4</v>
          </cell>
          <cell r="F27">
            <v>20</v>
          </cell>
          <cell r="G27" t="str">
            <v/>
          </cell>
          <cell r="H27" t="str">
            <v>1. Boil eggs.
2. Cream yolks with sriracha mayo.
3. Mix in chopped egg whites.
4. Spread onto rolls and pack.</v>
          </cell>
        </row>
        <row r="28">
          <cell r="B28" t="str">
            <v>Prawn Linguine</v>
          </cell>
          <cell r="C28">
            <v>4</v>
          </cell>
          <cell r="F28">
            <v>20</v>
          </cell>
          <cell r="G28" t="str">
            <v>https://www.bbc.co.uk/food/recipes/prawn_linguine_02687</v>
          </cell>
          <cell r="H28" t="str">
            <v>1. Cook the linguine in a saucepan of salted boiling water for about 10 minutes until al dente, adding the peas after 8 minutes.
2. Meanwhile, heat the oil in a large saucepan or frying pan over a medium heat and fry the garlic with the chilli flakes for 30 seconds, without colouring.
3. Add the prawns and toss in the garlic. Stir in the mascarpone, rocket, lemon zest and juice and heat for a minute or so, or until the rocket wilts.
4. Drain the pasta and peas, add to the sauce and mix together. Season with salt and pepper. Make sure that the prawns, rocket and peas are evenly distributed before serving.</v>
          </cell>
        </row>
        <row r="29">
          <cell r="B29" t="str">
            <v>Asian Slaw with Sesame Ginger Dressing</v>
          </cell>
          <cell r="C29">
            <v>4</v>
          </cell>
          <cell r="F29">
            <v>20</v>
          </cell>
          <cell r="G29" t="str">
            <v>https://thekitchengirl.com/asian-quinoa-slaw-salad-sesame-ginger-vinaigrette/</v>
          </cell>
          <cell r="H29" t="str">
            <v>1. Toast sesame seeds.
2. To make the slaw, combine CABBAGE, cooked QUINOA, CARROTS, CILANTRO, and GREEN ONIONS in a large mixing bowl. Cover and refrigerate until ready to dress and serve.
3. To make the dressing, combine RICE VINEGAR, MAPLE SYRUP, SOY SAUCE, GINGER, and GARLIC in a mixing bowl. Slowly drizzle in OLIVE OIL and SESAME OIL, and whisk or blend until well-combined. Add SALT and PEPPER to taste.
Cover and refrigerate until ready to dress and serve.
4. To serve, add toasted nuts and seeds to the salad. Add the dressing and toss to combine.
5. Store dressed slaw in an airtight container up to 24 hours. Non-dressed slaw can be stored up to 5 days.</v>
          </cell>
        </row>
        <row r="30">
          <cell r="B30" t="str">
            <v>Pumpkin &amp; Ginger Soup</v>
          </cell>
          <cell r="C30">
            <v>2</v>
          </cell>
          <cell r="F30">
            <v>5</v>
          </cell>
          <cell r="G30" t="str">
            <v/>
          </cell>
          <cell r="H30" t="str">
            <v/>
          </cell>
        </row>
        <row r="31">
          <cell r="B31" t="str">
            <v>Slow Cooked Aubergine and Coconut Curry</v>
          </cell>
          <cell r="C31">
            <v>3</v>
          </cell>
          <cell r="F31">
            <v>30</v>
          </cell>
          <cell r="G31" t="str">
            <v/>
          </cell>
          <cell r="H31" t="str">
            <v>Warm meal.
Make rice.
Fry paratas in a small amount of buter.</v>
          </cell>
        </row>
        <row r="32">
          <cell r="B32" t="str">
            <v>Spicy Sesame Carrot Soup with Red Lentils</v>
          </cell>
          <cell r="C32">
            <v>6</v>
          </cell>
          <cell r="F32">
            <v>65</v>
          </cell>
          <cell r="G32" t="str">
            <v>https://thefirstmess.com/2021/09/08/spicy-sesame-carrot-soup/#recipe</v>
          </cell>
          <cell r="H32" t="str">
            <v>1. Set a large soup pot over medium heat and pour in the olive oil. Swirl the oil around a bit and then add the onions to the pot and stir. The onions should be sizzling, but on the quieter end of sizzling. Lower the heat if necessary. Keep cooking the onions, stirring occasionally, until very soft and translucent (but not browning), about 7-8 minutes.
2. Add the ground cumin and coriander to the pot, along with the ground chillies as well. Stir and cook along with the onions for one full minute.
3. Then, add the minced garlic and ginger to the pot and stir. Keep cooking until the garlic is very fragrant, about 1 minute.
4. Add the carrots to the pot along with big pinches of salt and pepper. Stir the carrots to coat them in the spices and sautéed onions. Then, add the red lentils to the pot and stir once more. 
5. Finally, pour in the vegetable stock and give it a final stir. Bring this broth-y carrot, lentil, and spice mixture to a boil and then lower your heat to a simmer. Simmer this mixture uncovered, stirring here and there, until the carrots are quite soft, about 30 minutes.
6. Carefully ladle the broth-y carrot, lentil, and spice mixture into the pitcher of an upright, vented blender.
7. To this mixture, add the tahini, sesame oil, and soy sauce. Close the lid on the pitcher and slowly bring the speed of the blender up to high. You may have to add a few splashes of water to get things moving. Blend until you have a completely smooth puree.
8. Pour the spicy sesame carrot soup back into the pot. At this point, you can leave it as-is or add some water to make the texture a bit more fluid. I personally like a bit of fluidity in pureed soups, so I added 2 cups of water at this point. Bring the soup up to a boil, stirring often.
9. Stir in the lemon or lime juice.
10. Give the soup a taste at this point to see if you need to adjust some of the seasoning. Maybe it needs even more lemon/lime for your taste, some extra pepper etc. Adjust the seasoning to your liking and then serve! I topped mine with chopped cilantro, drizzles of tahini and chili oil, and sesame seeds.</v>
          </cell>
        </row>
        <row r="33">
          <cell r="B33" t="str">
            <v>Frozen Banana Snickers</v>
          </cell>
          <cell r="C33" t="str">
            <v/>
          </cell>
          <cell r="F33" t="str">
            <v/>
          </cell>
          <cell r="G33" t="str">
            <v/>
          </cell>
          <cell r="H33" t="str">
            <v>1. Cute bananas lengthways.
2. Put peanut butter on the banana.
3. Sprinkle peanuts over the banana.
4. Drizzle over chocolate.</v>
          </cell>
        </row>
        <row r="34">
          <cell r="B34" t="str">
            <v>Frozen Mango</v>
          </cell>
          <cell r="C34">
            <v>4</v>
          </cell>
          <cell r="F34" t="str">
            <v/>
          </cell>
          <cell r="G34" t="str">
            <v/>
          </cell>
          <cell r="H34" t="str">
            <v/>
          </cell>
        </row>
        <row r="35">
          <cell r="B35" t="str">
            <v>Mexican Stuffed Sweet Potatoes</v>
          </cell>
          <cell r="C35">
            <v>2</v>
          </cell>
          <cell r="F35" t="str">
            <v/>
          </cell>
          <cell r="G35" t="str">
            <v>https://healthygirlkitchen.com/recipes/mexican-stuffed-sweet-potatoes-vegan-oil-free/</v>
          </cell>
          <cell r="H35" t="str">
            <v>1. Cook the sweet potato and set aside . 
2. Add the chili powder to the rinsed black beans and then heat them up on the stove top for a few minutes until hot. 
3. Cut the sweet potato in half and open it up slightly to fit your other ingredients. 
4. Mash up and prepare the guacamole ingredients (avocado, lime juice, garlic, and salt). 
5. Top the sweet potato with the black beans, sour cream, salsa and guacamole.</v>
          </cell>
        </row>
        <row r="36">
          <cell r="B36" t="str">
            <v>Vegan Mediterranean Pasta</v>
          </cell>
          <cell r="C36">
            <v>4</v>
          </cell>
          <cell r="F36" t="str">
            <v/>
          </cell>
          <cell r="G36" t="str">
            <v>https://healthygirlkitchen.com/recipes/vegan-mediterranean-pasta/</v>
          </cell>
          <cell r="H36" t="str">
            <v>1. Cook pasta. While pasta is boiling, get a large non-stick pan and start sauteing the zucchini.
2. Saute zucchini in a little water or avocado/olive oil, your choice. Saute until tender but not too mushy.
3. Add artichokes to pan, just dump the whole jar in there!
4. Strain pasta and add into the pan with zucchini and artichokes.
5. Add spinach, tomatoes, oregano, olives, garlic, red wine vinegar, salt + pepper
6. Keep the pan on low heat and stir until everything is combined and the spinach is wilted.
7. Serve and enjoy!</v>
          </cell>
        </row>
        <row r="37">
          <cell r="B37" t="str">
            <v>Green Goddess Panini</v>
          </cell>
          <cell r="C37">
            <v>2</v>
          </cell>
          <cell r="F37">
            <v>10</v>
          </cell>
          <cell r="G37" t="str">
            <v/>
          </cell>
          <cell r="H37" t="str">
            <v>1. Blend drained chickpeas with pesto.
2. Spread chickpea pesto on the bread.
3. Top one side of the sandwich with rocket, artichoke and avocado.
4. Put other half of bread on top and toast in a press.</v>
          </cell>
        </row>
        <row r="38">
          <cell r="B38" t="str">
            <v>Winter White Cheese Board</v>
          </cell>
          <cell r="C38" t="str">
            <v/>
          </cell>
          <cell r="F38" t="str">
            <v/>
          </cell>
          <cell r="G38" t="str">
            <v>https://fashionablehostess.com/winter-white-cheese-board/</v>
          </cell>
          <cell r="H38" t="str">
            <v/>
          </cell>
        </row>
        <row r="39">
          <cell r="B39" t="str">
            <v>Tashas Halloumi Salad</v>
          </cell>
          <cell r="C39">
            <v>2</v>
          </cell>
          <cell r="F39" t="str">
            <v/>
          </cell>
          <cell r="G39" t="str">
            <v/>
          </cell>
          <cell r="H39" t="str">
            <v/>
          </cell>
        </row>
        <row r="40">
          <cell r="B40" t="str">
            <v>Palak Paneer (Halloumi)</v>
          </cell>
          <cell r="C40">
            <v>4</v>
          </cell>
          <cell r="F40">
            <v>30</v>
          </cell>
          <cell r="G40" t="str">
            <v>https://minimalistbaker.com/vegan-palak-paneer-with-curried-tofu/</v>
          </cell>
          <cell r="H40" t="str">
            <v>This recipe is all about multi-tasking and is totally doable in 30 minutes.
1. Start by preheating the oven to 218 C and cube your halloumi.
2. Add halloumi to a medium mixing bowl. Season with curry powder, coconut aminos, sea salt, and nutritional yeast. Shake the bowl to gently toss. Set aside.
3. Heat a medium oven-safe seasoned cast iron over medium heat. Once hot, add the halloumi and sauté for 3-4 minutes, or until a couple of the sides are browned. Then transfer to the hot oven and bake for 15 minutes.  Set aside to rest in the pan.
4. Fill a large pot halfway full with water and bring to a boil over high heat. While you wait, move on to the next step.
5. Heat a large rimmed skillet over medium heat. Once hot, add oil and cumin seed, ginger, onion, and jalapeno. Sauté until onion is soft and translucent — about 5 minutes.
6. Add diced tomatoes and garlic and stir to combine. Sauté for 3-4 minutes, or until the tomato has softened.
7. Your water should be boiling now. Add spinach and cook uncovered for 2 minutes. Then strain and rinse with cold water. Drain well. Set aside.
8. Add the tomato mixture to a blender or food processor along with cooked drained spinach and the vegetable broth (or water). Blend into a smooth sauce, scraping down sides as needed. If it has trouble blending, add more vegetable broth or water.
9. Lastly, cook your sauce. Heat the same rimmed skillet from earlier over medium heat. Once hot, add remaining oil (or some water), curry powder, and garam masala. Stir and cook for 30 seconds.
10. Add the spinach sauce and stir. Cook the mixture over medium-low heat for about 3-4 minutes to deepen the flavors. If it bubbles too much, lower heat to a simmer. Then add coconut milk and stir.
11. Taste and adjust flavor as needed, adding salt or coconut aminos to deepen the flavor and curry powder for more rich curry flavor.
12. Serve over your halloumi and garnish with another drizzle of full fat coconut milk and fresh cilantro. Rice makes a lovely side, as does garlic naan!
Store leftovers covered in the refrigerator up to 4-5 days, or in the freezer up to 1 month. Reheat in the microwave or in a rimmed skillet until hot.</v>
          </cell>
        </row>
        <row r="41">
          <cell r="B41" t="str">
            <v>Baby Restock</v>
          </cell>
          <cell r="C41" t="str">
            <v/>
          </cell>
          <cell r="F41" t="str">
            <v/>
          </cell>
          <cell r="G41" t="str">
            <v/>
          </cell>
          <cell r="H41" t="str">
            <v/>
          </cell>
        </row>
        <row r="42">
          <cell r="B42" t="str">
            <v>Crunchy Mexican Salad</v>
          </cell>
          <cell r="C42">
            <v>4</v>
          </cell>
          <cell r="F42" t="str">
            <v/>
          </cell>
          <cell r="G42" t="str">
            <v/>
          </cell>
          <cell r="H42" t="str">
            <v>1. Preheat the oven to 230°C fan.
2. Place the sweetcorn in a large baking tray (with space for the seeds) with a drizzle of olive oil, a pinch of salt and the cumin. Mix well and cook for 15 minutes until crispy. Mix the sunflower seeds with the paprika, and add them to the corn for the last 5 minutes of the cooking time.
3. While they cook, make the dressing and dip by placing the cashews in a food processor and pulsing until a smooth mixture forms - you may need to add a few tablespoons of the almond milk to help this along, it should take a minute or two. Once smooth, add the rest of the ingredients (1 avocado, lime juice, coriander, garlic), along with some salt, and pulse until smooth. You can add more almond milk depending on the consistency you like best.
4. Place the lettuce in a large mixing bowl, with the sweetcorn, sunflower seeds, avocado, tomatoes, coriander and a generous sprinkling of salt. Pour half the dressing over the salad and mix well.
Spoon the other half into a small bowl to use as a dip.
5. Divide the salad between plates and crush the tortilla chips over the top of each - do this right as you serve the salad so that they stay crunchy. Have a bowl of extra tortilla chips on the table to accompany the bowl of dip.
*you can add black beans to make this more filling</v>
          </cell>
        </row>
        <row r="43">
          <cell r="B43" t="str">
            <v>Mike’s Clothing Refresh</v>
          </cell>
          <cell r="C43" t="str">
            <v/>
          </cell>
          <cell r="F43" t="str">
            <v/>
          </cell>
          <cell r="G43" t="str">
            <v/>
          </cell>
          <cell r="H43" t="str">
            <v/>
          </cell>
        </row>
        <row r="44">
          <cell r="B44" t="str">
            <v>Home Restock</v>
          </cell>
          <cell r="C44" t="str">
            <v/>
          </cell>
          <cell r="F44" t="str">
            <v/>
          </cell>
          <cell r="G44" t="str">
            <v/>
          </cell>
          <cell r="H44" t="str">
            <v/>
          </cell>
        </row>
        <row r="45">
          <cell r="B45" t="str">
            <v>Nut &amp; Seed Granola</v>
          </cell>
          <cell r="C45" t="str">
            <v/>
          </cell>
          <cell r="F45" t="str">
            <v/>
          </cell>
          <cell r="G45" t="str">
            <v/>
          </cell>
          <cell r="H45" t="str">
            <v>Place ingredients on a baking tray (except coconut flakes).
Cover with honey.
Bake until golden.
Allow to cool.
Combine coconut flakes.</v>
          </cell>
        </row>
        <row r="46">
          <cell r="B46" t="str">
            <v>Green Quinoa Risotto</v>
          </cell>
          <cell r="C46">
            <v>4</v>
          </cell>
          <cell r="F46">
            <v>30</v>
          </cell>
          <cell r="G46" t="str">
            <v/>
          </cell>
          <cell r="H46" t="str">
            <v>1. Put the onion and garlic into a saucepan over a medium heat with a drizzle of olive oil, a pinch of salt and pepper and gently heat for about 5 minutes, until softened. The smaller you've cut the onion the quicker it'll cook, and the better it will mix into the quinoa.
2. Once the onion is soft, stir the quinoa into the mixture. Dissolve the stock cube in the boiling water then pour into the pan. Let the liquid come to the boil, then turn the heat down to a simmer and cook for 10-12 minutes, until the quinoa is light and fluffy.
3. While the quinoa cooks, chop off the woody ends of the asparagus and slice the stems into rounds. Place in a frying pan with the courgette half-moons and a drizzle of olive oil and a pinch of salt and gently sauté on a medium heat, until soft.
4. Now make the pea purée. Put the frozen peas into a bowl and cover with boiling water. Leave them for a couple of minutes, then drain and add to a blender with the lemon juice, 3 tablespoons of olive oil, the mustard, almond milk, nutritional yeast, and some salt and pepper. Blend until smooth.
5. Add the pea purée, courgette and asparagus to the pan with the quinoa and stir everything together.
6. Add a handful of rocket and lots of pepper on the top of each serving.</v>
          </cell>
        </row>
        <row r="47">
          <cell r="B47" t="str">
            <v>Pancakes</v>
          </cell>
          <cell r="C47">
            <v>10</v>
          </cell>
          <cell r="F47" t="str">
            <v/>
          </cell>
          <cell r="G47" t="str">
            <v>https://culinarycartel.com/perfectly-simple-pancakes/</v>
          </cell>
          <cell r="H47" t="str">
            <v>1. Sift the dry ingredients together and make a well in the flour.
2. Mix wet ingredients together. Pour the wet ingredients into the well in the flour, and whisk until the batter is smooth. The butter might cool and leave a few buttery lumps in the batter – don’t stress about these, they will melt once cooked.
3. The batter should be the consistency of double cream/heavy cream. Add 2-3 tbsp more water if needed to loosen it up.
4. Cook on medium heat in a nonstick pan, coated with a knob of butter. I use a 30cm pan, and just over ¼ of a cup of batter per pancake – try to keep them as thin as you can manage.
5. Place the pancakes onto a plate then sprinkle over a generous amount of cinnamon, sugar and lemon juice. Keep stacking the pancakes up, adding more cinnamon, sugar and lemon juice between each layer. This will melt into the layers, making them extra delicious. Place the plate in a warmer or a low oven to keep nice and warm.
6. Serve them up as is, or add your own favourite toppings like berries and whipped cream.</v>
          </cell>
        </row>
        <row r="48">
          <cell r="B48" t="str">
            <v>Vanilla Soft Serve Coconut Nice’Cream</v>
          </cell>
          <cell r="C48">
            <v>2</v>
          </cell>
          <cell r="F48" t="str">
            <v/>
          </cell>
          <cell r="G48" t="str">
            <v>https://www.instagram.com/p/CLjCbRfpkH0/</v>
          </cell>
          <cell r="H48" t="str">
            <v>1. Freeze bananas.
2. Cool coconut milk.
3. Blend all ingredients.</v>
          </cell>
        </row>
        <row r="49">
          <cell r="B49" t="str">
            <v>Weekly Essentials</v>
          </cell>
          <cell r="C49" t="str">
            <v/>
          </cell>
          <cell r="F49" t="str">
            <v/>
          </cell>
          <cell r="G49" t="str">
            <v/>
          </cell>
          <cell r="H49" t="str">
            <v/>
          </cell>
        </row>
        <row r="50">
          <cell r="B50" t="str">
            <v>Chocolate Chip Cookies</v>
          </cell>
          <cell r="C50">
            <v>16</v>
          </cell>
          <cell r="F50" t="str">
            <v/>
          </cell>
          <cell r="G50" t="str">
            <v>https://bromabakery.com/best-chocolate-chip-cookies/</v>
          </cell>
          <cell r="H50" t="str">
            <v>Brown the butter over medium heat, stirring constantly until the butter begins to foam and turns a golden brown, emitting a nutty aroma. Make sure you only brown the butter lightly. When butter browns the liquid evaporates off which can dry out your dough. As soon as the butter starts to turn brown and smell nutty, take it off the heat to prevent any more liquid from escaping.  Take butter off the heat and allow to cool.
In a large mixing bowl combine the cooled brown butter, brown sugar, and white sugar. Beat until mixed together. Add in the egg, egg yolk, and vanilla extract. Mix well.
In separate bowl mix together the flour, salt and baking soda. Mix half the dry ingredients into the wet until everything comes together. Slowly add in the remaining flour a little bit at a time, stopping if the dough starts to get too dry.* Fold in the chocolate. Do not over mix.
Refrigerate the cookie dough for at least a half hour, or overnight.
When you are ready to bake the cookies, preheat the oven to 350°F and line a cookie sheet with parchment paper. Use a 1 ounce cookie scoop to scoop the cookie dough out into balls, placing them 2 inches apart on the prepared sheet. Bake for 11 minutes, or until the edges are just golden brown and the centers have puffed up but are still gooey.  You could place cookie dough scoops in the freezer if you want to bake later (within 3 months).
Allow to cool before eating!</v>
          </cell>
        </row>
        <row r="51">
          <cell r="B51" t="str">
            <v>Cheesy Brinjal Bake</v>
          </cell>
          <cell r="C51">
            <v>6</v>
          </cell>
          <cell r="F51">
            <v>40</v>
          </cell>
          <cell r="G51" t="str">
            <v>https://taste.co.za/recipes/cheesy-brinjal-bake/</v>
          </cell>
          <cell r="H51" t="str">
            <v>1 Slice into the brinjals, leaving the tops still intact, to make a fan shape.
2 Heat a large pan and add half the olive oil. Fry the brinjals until golden brown on both sides, seasoning with salt and pepper. Place in an ovenproof dish.
3 Preheat the oven to 200°C. To make the sauce, heat a saucepan and add the remaining olive oil. Fry the onion over a medium heat until it begins to soften and caramelise slightly.
4 Add the spices and oregano and fry for 1 minute, then add the garlic and chilli and fry for another few minutes. Stir in the tomato paste, then pour in the tomatoes. Break them with a wooden spoon to make a chunky sauce. Sprinkle in the sugar.
5 Simmer for 10 minutes, then pour over the brinjals. Crumble over the feta, top with the mozzarella and cover with tinfoil. Bake for 20 minutes, or until the brinjals are soft and cooked through when pierced with a knife. Uncover and grill until golden brown. To serve, spoon over the basil pesto and top with torn basil leaves.</v>
          </cell>
        </row>
        <row r="52">
          <cell r="B52" t="str">
            <v>Cleaning Restock</v>
          </cell>
          <cell r="C52" t="str">
            <v/>
          </cell>
          <cell r="F52" t="str">
            <v/>
          </cell>
          <cell r="G52" t="str">
            <v/>
          </cell>
          <cell r="H52" t="str">
            <v/>
          </cell>
        </row>
        <row r="53">
          <cell r="B53" t="str">
            <v>Sweet Potato Fries</v>
          </cell>
          <cell r="C53">
            <v>2</v>
          </cell>
          <cell r="F53" t="str">
            <v/>
          </cell>
          <cell r="G53" t="str">
            <v/>
          </cell>
          <cell r="H53" t="str">
            <v>1. Preheat the oven to 220 degrees Celsius.
2. Spread the sweet potato chips evenly  on a baking tray.
3. Bake for 20 mins, turning occasionally.
4. Season and serve.</v>
          </cell>
        </row>
        <row r="54">
          <cell r="B54" t="str">
            <v>Toiletries Restock</v>
          </cell>
          <cell r="C54" t="str">
            <v/>
          </cell>
          <cell r="F54" t="str">
            <v/>
          </cell>
          <cell r="G54" t="str">
            <v/>
          </cell>
          <cell r="H54" t="str">
            <v/>
          </cell>
        </row>
        <row r="55">
          <cell r="B55" t="str">
            <v>Mexican Street Corn</v>
          </cell>
          <cell r="C55">
            <v>4</v>
          </cell>
          <cell r="F55">
            <v>20</v>
          </cell>
          <cell r="G55" t="str">
            <v/>
          </cell>
          <cell r="H55" t="str">
            <v>1. Clean sweetcorn.
2. Boil in salted water.
3. Char on the braai.
4. Brush with melted butter and top with chipotle spice and a squeeze of lime.</v>
          </cell>
        </row>
        <row r="56">
          <cell r="B56" t="str">
            <v>Pesto Couscous Salad</v>
          </cell>
          <cell r="C56">
            <v>4</v>
          </cell>
          <cell r="F56">
            <v>10</v>
          </cell>
          <cell r="G56" t="str">
            <v>https://www.instagram.com/p/CgiO2F7Jfe5/</v>
          </cell>
          <cell r="H56" t="str">
            <v>1. Make couscous (2c)
2. Steam peas (1c).
3. Dice and saute zucchini in olive oil, salt and pepper.
4. Chop basil (0.5c) and mint (0.5c)
5. Combine all ingredients.
6. Top with salt, pepper and lemon juice.</v>
          </cell>
        </row>
        <row r="57">
          <cell r="B57" t="str">
            <v>Chili Garlic Broccolini</v>
          </cell>
          <cell r="C57">
            <v>4</v>
          </cell>
          <cell r="F57">
            <v>15</v>
          </cell>
          <cell r="G57" t="str">
            <v>https://whatsgabycooking.com/the-best-chili-garlic-broccolini/</v>
          </cell>
          <cell r="H57" t="str">
            <v>1. In a large pot over medium heat, bring 3L of heavily salted water to a boil. Have a large bowl of ice water ready on the side.
2. Add the broccolini and cook for 2 to 3 minutes, depending on the size of the broccolini. Quickly drain the water and place the broccolini in the ice bath to stop the cooking process. When the broccolini is cool remove them from the ice bath and place on a paper towel- lined plate.
3. Preheat the oven to broil with a rack set in the top third of the oven. In a medium bowl toss the broccolini in olive oil, shallot, garlic to coat then arrange in a single even layer on a baking sheet.
4. Sprinkle it with red pepper flakes and sea salt. Broil until the tips of the broccolini start to char but are not burnt, about 5 to 6 minutes.
5. Remove from the broiler and place back in the bowl. Add the red wine vinegar and chili oil and serve.</v>
          </cell>
        </row>
        <row r="58">
          <cell r="B58" t="str">
            <v>Greek Salad</v>
          </cell>
          <cell r="C58">
            <v>4</v>
          </cell>
          <cell r="F58">
            <v>10</v>
          </cell>
          <cell r="G58" t="str">
            <v/>
          </cell>
          <cell r="H58" t="str">
            <v>Combine all ingredients.</v>
          </cell>
        </row>
        <row r="59">
          <cell r="B59" t="str">
            <v>Chocolate Chickpea &amp; Coconut Bark</v>
          </cell>
          <cell r="C59">
            <v>10</v>
          </cell>
          <cell r="F59">
            <v>45</v>
          </cell>
          <cell r="G59" t="str">
            <v>https://healthygirlkitchen.com/recipes/vegan-chocolate-chickpea-bark-oil-free/</v>
          </cell>
          <cell r="H59" t="str">
            <v>1. Preheat oven to 220 C.
2. Add your rinsed, drained and dried chickpeas on a baking sheet lined with parchment paper.
3. Bake for 30-35 minutes or until crunchy and golden brown. Do not burn!
4. Pan fry coconut flakes until toasted (30g = 1cup).
5. Melt chocolate and coconut oil in a bowl in 30-second increments, stirring each time, until completely melted.
6. Combine the chickpeas, coconut flakes and chocolate in a bowl and stir. 7. Add back onto the parchment on the baking sheet and spread evenly into 1-layer.
8. Put in the freezer and allow it to harden for at least 15 minutes.
9. Serve and enjoy!
(Store in fridge or freezer.)</v>
          </cell>
        </row>
        <row r="60">
          <cell r="B60" t="str">
            <v>Broccoli Flatbread</v>
          </cell>
          <cell r="C60">
            <v>12</v>
          </cell>
          <cell r="F60">
            <v>45</v>
          </cell>
          <cell r="G60" t="str">
            <v>https://greenkitchenstories.com/vegetable-flatbreads/</v>
          </cell>
          <cell r="H60" t="str">
            <v>1. Preheat the oven to 200°C and line a baking tray with baking paper.
2. Coarsely chop the broccoli (use the brighter part of the stem too), place in food processor and blend until you have got a fine rice-like texture.
3. Measure 4 cups of the vegetable ‘rice’ and place in a mixing bowl.
4. Add ground almonds, salt and pepper (plus herbs, if using) and mix with your hands.
5. Make a well in the centre and add the eggs.
6. Whisk the eggs with a fork.
7. Use your hands to pull the dry ingredients towards the middle until everything is combined and you can shape it into a ball. It should be more loose and wet than a traditional bread dough.
8. Transfer to the baking paper and form into a rectangular base by flattening the dough with your hands.
9. Bake on the middle rack in the oven for 23-25 minutes or until slightly golden and firm.
10. Remove from the oven and let cool completely.
11. Turn it upside-down and carefully remove the baking paper.
12. Cut into bread-sized slices and store in the fridge.</v>
          </cell>
        </row>
        <row r="61">
          <cell r="B61" t="str">
            <v>Chimichurri Fish Tacos</v>
          </cell>
          <cell r="C61">
            <v>4</v>
          </cell>
          <cell r="F61">
            <v>30</v>
          </cell>
          <cell r="G61" t="str">
            <v>https://camillestyles.com/food/the-chimichurri-fish-tacos-i-crave-all-summer/</v>
          </cell>
          <cell r="H61" t="str">
            <v>1. Make the chimichurri by combining everything (cilantro, parsley, paprika, red onion, garlic, red wine vinegar, olive oil, salt, pepper) in a blender. It should be the consistency of a thick pourable sauce, so you may need to add a little more oil or a touch of hot water to thin it out.
2. First, the hake: cut it into strips, then toss in a bowl with 1/4 cup chimichurri until fish is coated. Refrigerate for at least an hour and up to 3 hours.
3. Toss the cabbage with a teaspoon or so of chimichurri, a drizzle of olive oil, and a pinch of salt. Set aside.
4. In a small bowl, mix together 2 tablespoons chimichurri with the mayo. This is your "crema" sauce.
5. Heat a large nonstick pan (or a grill) over medium-high. Sprinkle the hake with salt, then cook for a couple minutes per side, until slightly caramelized on the outside and cooked through on the inside. Set aside.
6. Warm the tortillas (I like to do it over a gas stovetop flame so it gets charred), then fill with cabbage, smashed avocado, and hake.
7. Drizzle with the chimichurri crema, then garnish with onions, cilantro, and a squeeze of lime.</v>
          </cell>
        </row>
        <row r="62">
          <cell r="B62" t="str">
            <v>Simple Baked Fish</v>
          </cell>
          <cell r="C62">
            <v>2</v>
          </cell>
          <cell r="F62">
            <v>10</v>
          </cell>
          <cell r="G62" t="str">
            <v/>
          </cell>
          <cell r="H62" t="str">
            <v>1. Preheat the grill.
2. Grease a baking tray and arrange the frozen hake fillets on the tray.
3. Season with salt, pepper and add a large knob of butter.
4. Grill for 5–7 minutes.</v>
          </cell>
        </row>
        <row r="63">
          <cell r="B63" t="str">
            <v>Classic Italian Tiramisu</v>
          </cell>
          <cell r="C63">
            <v>8</v>
          </cell>
          <cell r="F63">
            <v>15</v>
          </cell>
          <cell r="G63" t="str">
            <v>https://whatsgabycooking.com/classic-italian-tiramisu/</v>
          </cell>
          <cell r="H63" t="str">
            <v>1. Whisk together the cocoa powder, espresso and vanilla in a bowl and set aside
2. In a mixer or using a hand mixer, beat the egg yolks and sugar until pale and thick, about 5 minutes.
3. Add in the salt, mascarpone cheese and continue to whip until smooth.
4. Add the chilled cream and continue to whip, until light, creamy, smooth and can hold a soft peak.
5. Dunk each ladyfinger in the espresso mixture to absorb the liquid and start to line a 7×11 oval baking dish with the cookies.
6. Top the first layer of cookies with ½ of the whipped mascarpone mixture and use the back of a metal spoon to spread it into an even layer.
7. Dust with cocoa powder.
8. Repeat for another layer and then finish by dusting with cocoa powder on top.
9. Cover with plastic wrap and chill for at least 2 hours before serving.</v>
          </cell>
        </row>
        <row r="64">
          <cell r="B64" t="str">
            <v>Crispy Gnocchi with Parmesan Pea Purée</v>
          </cell>
          <cell r="C64">
            <v>2</v>
          </cell>
          <cell r="F64">
            <v>30</v>
          </cell>
          <cell r="G64" t="str">
            <v>https://www.healthylittlevittles.com/crispy-cauliflower-gnocchi-with-parmesan-pea-puree/</v>
          </cell>
          <cell r="H64" t="str">
            <v>1. Grate parmesan.
2. Toast pine nutes.
3. Pour 2 cups of peas into a glass measuring cup/glass bowl and cover the peas with water. Microwave the peas for 2 minutes, strain and then place the peas into your food processor/blender.
4. Add the remaining pea purée ingredients to the food processor/blender and blend on high until very smooth. Cover and set aside while you make your gnocchi.
5. Melt 1 tablespoon of coconut oil in large skillet over medium heat until melted, then add the gnocchi to the pan. Saute the gnocchi until it starts to turn golden and crispy, tossing frequently to crisp on all sides.
6. Serve immediately with Parmesan Pea Purée, toasted pine nuts, mint leaves (if desired) and more Parmesan cheese (if desired).</v>
          </cell>
        </row>
        <row r="65">
          <cell r="B65" t="str">
            <v>Hot chocolate</v>
          </cell>
          <cell r="C65">
            <v>2</v>
          </cell>
          <cell r="F65">
            <v>10</v>
          </cell>
          <cell r="G65" t="str">
            <v>https://www.theconsciousplantkitchen.com/vegan-hot-chocolate/</v>
          </cell>
          <cell r="H65" t="str">
            <v>1. Warm milk in nutribullet cup for 2 mins.
2. Add other ingredients.
3. Mix in nutribullet.
4. Heat again in microwave in 30sec increments (about 4 times).</v>
          </cell>
        </row>
        <row r="66">
          <cell r="B66" t="str">
            <v>Orzo with prawns, tomato and marinated feta</v>
          </cell>
          <cell r="C66">
            <v>4</v>
          </cell>
          <cell r="F66">
            <v>45</v>
          </cell>
          <cell r="G66" t="str">
            <v>https://www.theguardian.com/food/2018/sep/01/easy-does-it-seven-simple-yotam-ottolenghi-recipes?page=with%3Aimg-4#img-4</v>
          </cell>
          <cell r="H66" t="str">
            <v>1. Toast and crush fennel seeds.
2. In a medium bowl, mix the feta (broken into 1-2cm pieces) with a quarter-teaspoon of the chilli flakes, 1 teaspoon of the fennel seeds and a tablespoon of oil. Set aside while you cook the orzo.
3. Put a large saute pan for which you have a lid on a medium-high heat. Add two tablespoons of oil, the orzo, an eighth of a teaspoon of salt and a good grind of pepper. Fry for three to four minutes, stirring frequently, until golden brown, then remove from the pan and set aside.
4. Return the pan to the same heat and add the remaining two tablespoons of oil, a quarter-teaspoon of chilli flakes, two teaspoons of fennel seeds, the garlic and the orange peel. Fry for a minute, until the garlic starts to brown lightly, then add the tomatoes, stock, 200ml water, three-quarters of a teaspoon of salt and plenty of pepper. Cook for two to three minutes, or until boiling, then stir in the fried orzo. 
5. Cover, then lower the heat to medium low and leave to simmer for 15 minutes, stirring once or twice, until the orzo is cooked.
6. Remove the lid and cook for one to two minutes more, until the consistency is like a risotto. Stir in the prawns for two to three minutes, until they turn pink and are cooked.
7. Stir in the basil and serve at once with the marinated feta sprinkled on top.</v>
          </cell>
        </row>
        <row r="67">
          <cell r="B67" t="str">
            <v>Puttanesca Baked Fish</v>
          </cell>
          <cell r="C67">
            <v>4</v>
          </cell>
          <cell r="F67">
            <v>25</v>
          </cell>
          <cell r="G67" t="str">
            <v>https://taste.co.za/recipes/puttanesca-baked-fish/</v>
          </cell>
          <cell r="H67" t="str">
            <v>Fry capers, anchovy fillets, chopped garlic, halved olives and chopped chilli in 2 T olive oil in a large ovenproof pan over a medium to low heat.
When fragrant, add the cherry tomatoes and bring to a simmer. Add tomato paste and a little water if necessary to loosen.
Meanwhile preheat the grill, grease a baking tray and arrange the frozen hake fillets on the tray. Season and grill for 5–7 minutes. Place thefish in the sauce and grate over Parmesan, then grill until golden and bubbling, 3–5 minutes.
Serve hot topped with chopped exotic tomatoes, pickled red onion, basil leaves and orzo, cheesy polenta or Woolworths frozen mash.
Cook's note: The worst thing about entertaining? Washing up, hands down. Do yourself a favour and serve this winning supper in the centre of the table, straight out the pan</v>
          </cell>
        </row>
        <row r="68">
          <cell r="B68" t="str">
            <v>Spaghetti &amp; Mushroom Bolognase</v>
          </cell>
          <cell r="C68">
            <v>4</v>
          </cell>
          <cell r="F68">
            <v>40</v>
          </cell>
          <cell r="G68" t="str">
            <v/>
          </cell>
          <cell r="H68" t="str">
            <v>1. Finely chop onion, garlic and chilli and grate mushrooms and carrots.
2. Saute onion, garlic and chilli until softened.
3. Add grated mushrooms and carrots, and fry for 10 minutes.
4. Add passata, paprika, oregano and coriander.
5. Add vegetable stock and nutritional yeast.
6. Simmer on low heat for 20 mins.
7. Cook pasta.
8. Combine and serve with grated parmesean.</v>
          </cell>
        </row>
        <row r="69">
          <cell r="B69" t="str">
            <v>Green Vegan Salad</v>
          </cell>
          <cell r="C69">
            <v>4</v>
          </cell>
          <cell r="F69">
            <v>40</v>
          </cell>
          <cell r="G69" t="str">
            <v>https://www.lazycatkitchen.com/green-vegan-salad/#recipe-start</v>
          </cell>
          <cell r="H69" t="str">
            <v>1. Rinse quinoa well and place it in a small pot that you have a glass lid for. Add a few pinches of salt and 180 ml / ¾ cup of water, cover with a lid and bring to the boil. Once the water boils, decrease the heat to low-medium and let the quinoa simmer until all the water has been absorbed. To check, tilt the pot slightly, keeping the lid firmly on. If you see no water seeping out from under the grain, switch off the heat and let the quinoa sit (with the lid firmly on) for another 5-10 min to finish off cooking in its own steam. Cool it down completely.
2. Divide broccoli into small florets, snap wooden ends off the asparagus and cut zucchini into 0.5 cm / ¼” slices.
3. ROAST: Preheat the oven to 220° C / 428° F. Coat broccoli florets in 2 tsp of olive oil and season. Arrange on a large baking tray. Brush zucchini slices with olive oil on both sides, season and arrange on the same tray. Coat asparagus spears in 1 tsp of oil, season and place on the baking tray. Roast for about 8 minutes, take the asparagus off the tray if ready, carry on roasting broccoli and zucchini for another 5-7 minutes, until cooked through. Alternatively, you could use a griddle pan if you prefer.
4. STEAM: Bring a large pot of water to the boil and grab a steaming basket. Once the water comes to the boil, steam broccoli for about 5-6 minutes, zucchini slices for about 3 minutes, asparagus for about 3-5 minutes and peas for about 3 minutes. You will need to do the steaming in batches.
5. If you roasted your vegetables, bring a small pot of water to the boil, cook frozen petit pois or peas for about 3 minutes, drain and immediately refresh it under a cold tap to preserve the colour.
6. Heat up 1 tsp of oil in a small frying pan, once warm add almonds. Toast them for a few minutes until golden and slightly plump, moving them around the pan frequently. Sprinkle with flaky salt before removing from the pan. Allow to cool down and chop roughly.
7. Put all the dressing ingredients in a small blender (I used Ninja blender for this). Make sure the lemon flesh does not include the bitter pith. Blend until smooth, adjust seasoning to taste.
8. Arrange all of the salad elements on a large platter, dress with approximately half of the dressing (keep the rest in the fridge, use up in the next few days) and sprinkle with toasted almonds at the end. Pieces of soft vegan cheese, like this almond feta, scattered on top are also a nice addition.</v>
          </cell>
        </row>
        <row r="70">
          <cell r="B70" t="str">
            <v>Roasted Cauliflower &amp; Peas (Gio’s)</v>
          </cell>
          <cell r="C70">
            <v>4</v>
          </cell>
          <cell r="F70" t="str">
            <v/>
          </cell>
          <cell r="G70" t="str">
            <v/>
          </cell>
          <cell r="H70" t="str">
            <v/>
          </cell>
        </row>
        <row r="71">
          <cell r="B71" t="str">
            <v>Green haloumi salad with toasted almonds and dairy free pesto</v>
          </cell>
          <cell r="C71">
            <v>4</v>
          </cell>
          <cell r="F71">
            <v>15</v>
          </cell>
          <cell r="G71" t="str">
            <v>https://thefeedfeed.com/georgeats/green-halloumi-salad</v>
          </cell>
          <cell r="H71" t="str">
            <v>STEP 1
Prepare ingredients:
- toast almonds
- finely slice fennel
- slice cucumber, avocado &amp; halloumi
STEP 2
Blend the ingredients for the pesto together in a high speed food processor until smooth (rocket, lemon juice, 1c almonds, 1c olive oil). Adjust for salt, pepper and lemon juice and set aside.
STEP 3
Toss and assemble the vegetables and herbs for the salad on a large serving platter. Reserve the pesto, dressing elements, and a couple of herbs for garnish.
STEP 4
Heat a nonstick pan over a high heat. Once it is sizzling hot, place the halloumi flat side down in the pan. Give it a minute or two before flipping - there should be a lovely caramelized crunchy surface to the halloumi. Adjust the heat as necessary (halloumi cooks well with residual pan heat so you may like to take it off momentarily) and repeat until all the halloumi is cooked.
STEP 5
Arrange the halloumi on the plate and finish with the pesto, olive oil, lemon juice, and herbs for garnish. Serve while the halloumi is warm.</v>
          </cell>
        </row>
        <row r="72">
          <cell r="B72" t="str">
            <v>Banana Bread</v>
          </cell>
          <cell r="C72">
            <v>1</v>
          </cell>
          <cell r="F72" t="str">
            <v/>
          </cell>
          <cell r="G72" t="str">
            <v>http://Delish Sisters</v>
          </cell>
          <cell r="H72" t="str">
            <v>1. Preheat the oven to 180°C. Line a loaf tin with tin foil and grease the foil-lined tin.
2. Beat the butter and sugar together until pale and creamy.
3. Add the mashed bananas and beat until well combined.
4. Add the eggs, one at a time, beating in between until fully incorporated in the mixture.
5. Dissolve the bicarbonate of soda in the warm water and add to the batter.
6. Add the almond milk, baking powder, brown rice flour and salt and mix well.
7. Pour the batter into the lined loaf tin and bake for 1 hour.
8. Serve fresh out of the oven, as is or with lots of butter. Freeze and then toast and top with a blob of marscapone and some toasted pecan nuts or cocoa nibs.</v>
          </cell>
        </row>
        <row r="73">
          <cell r="B73" t="str">
            <v>Ginger Sweet Potato &amp; Coconut Milk Stew</v>
          </cell>
          <cell r="C73">
            <v>6</v>
          </cell>
          <cell r="F73">
            <v>65</v>
          </cell>
          <cell r="G73" t="str">
            <v>https://thefirstmess.com/2020/02/19/sweet-potato-coconut-milk-stew/#recipe</v>
          </cell>
          <cell r="H73" t="str">
            <v>1. Heat a large, heavy-bottomed soup pot over medium heat. Add the coconut oil to the pot and let it melt. Add the onions
to the pot and stir. Saute the onions, stirring occasionally,
until translucent and quite soft, about 5 minutes. Add the chili flakes, coriander, cumin, and turmeric. Saute spices until very fragrant, about 1 minute. Add the ginger and garlic to
the pot and cook for another minute. Add a pinch of salt and pepper.
2. Add the sweet potatoes to the pot and stir to coat in the spices. Add the lentils to the pot and stir once more. Season everything liberally with salt and pepper. Add the vegetable stock and stir, scraping up any browned bits on the bottom of the pot. Place the lid on top of the pot and bring to a boil.
3. Once the stew is boiling, lower the heat to a simmer and set the lid slightly askew on top of the pot so that there's a couple inches available for steam to escape. Simmer until the sweet potatoes are almost falling apart and the lentils are tender, about 30 minutes. The liquid should also be reduced by almost a third.
4. Add the coconut milk and kale to the pot and stir. Place the lid on top and continue to simmer the
stew until the kale is wilted and bright green, about 3-4 minutes. Season the sweet potato and coconut milk stew again with salt and pepper. Bring the stew back up to a strong simmer and check for seasoning. Adjust with more salt, pepper, chili etc. if necessary.
5. Serve the sweet potato and coconut milk stew hot with chopped cilantro, extra chili flakes, lime wedges, and Nigella seeds (if using).</v>
          </cell>
        </row>
        <row r="74">
          <cell r="B74" t="str">
            <v>Roasted Butternut &amp; Spinach Phyllo Parcels</v>
          </cell>
          <cell r="C74">
            <v>2</v>
          </cell>
          <cell r="F74" t="str">
            <v/>
          </cell>
          <cell r="G74" t="str">
            <v/>
          </cell>
          <cell r="H74" t="str">
            <v/>
          </cell>
        </row>
        <row r="75">
          <cell r="B75" t="str">
            <v>Blueberry Peanut Butter Smoothie</v>
          </cell>
          <cell r="C75">
            <v>1</v>
          </cell>
          <cell r="F75">
            <v>5</v>
          </cell>
          <cell r="G75" t="str">
            <v/>
          </cell>
          <cell r="H75" t="str">
            <v>Blend in nutribullet.</v>
          </cell>
        </row>
        <row r="76">
          <cell r="B76" t="str">
            <v>Smoky Tomato &amp; Halloumi Bake</v>
          </cell>
          <cell r="C76">
            <v>4</v>
          </cell>
          <cell r="F76">
            <v>35</v>
          </cell>
          <cell r="G76" t="str">
            <v>https://www.happyveggiekitchen.com/halloumi-bake/#recipe</v>
          </cell>
          <cell r="H76" t="str">
            <v>Preheat the oven to 200C.
In a shallow casserole dish, heat some olive oil and gently saute your sliced garlic until it's starting to brown.
Add the smoked paprika and oregano and stir for a moment until fragrant, then add the tomatoes, sugar and red wine vinegar.
Stir the sauce and simmer for 5 minutes.
Drain and rinse the chickpeas, then add to the sauce.
Remove from the heat and arrange the halloumi on top of the sauce.
Bake, uncovered, for 20 minutes until bubbling.
If you want to get the
halloumi browned on top, turn on the grill / broiler for the last 5 minutes.</v>
          </cell>
        </row>
        <row r="77">
          <cell r="B77" t="str">
            <v>Peanut Butter Freezer Fudge</v>
          </cell>
          <cell r="C77" t="str">
            <v/>
          </cell>
          <cell r="F77" t="str">
            <v/>
          </cell>
          <cell r="G77" t="str">
            <v>https://www.cocobeancooks.com/post/peanut-butter-freezer-fudge</v>
          </cell>
          <cell r="H77" t="str">
            <v>Pour coconut oil and honey into a heatproof bowl.
Microwave for about 40 seconds, until the coconut
oil is completely melted.
Add the peanut butter,
vanilla and a pinch of salt to the honey &amp; coconut oil
mixture.
Mix well until all combined.
Line an ice tray with paper cases, pour the peanut butter mixture into the cases, place the trays
in the freezer and eat once set.
They'll also be delicious drizzled with melted
chocolate.</v>
          </cell>
        </row>
        <row r="78">
          <cell r="B78" t="str">
            <v>Red Pesto Couscous Salad</v>
          </cell>
          <cell r="C78">
            <v>4</v>
          </cell>
          <cell r="F78">
            <v>40</v>
          </cell>
          <cell r="G78" t="str">
            <v/>
          </cell>
          <cell r="H78" t="str">
            <v/>
          </cell>
        </row>
        <row r="79">
          <cell r="B79" t="str">
            <v>Pea, Mint and Goat’s Cheese Omelettes</v>
          </cell>
          <cell r="C79">
            <v>2</v>
          </cell>
          <cell r="F79" t="str">
            <v/>
          </cell>
          <cell r="G79" t="str">
            <v/>
          </cell>
          <cell r="H79" t="str">
            <v/>
          </cell>
        </row>
        <row r="80">
          <cell r="B80" t="str">
            <v>Spinach and Feta Pie with an Oat Crust</v>
          </cell>
          <cell r="C80">
            <v>4</v>
          </cell>
          <cell r="F80">
            <v>45</v>
          </cell>
          <cell r="G80" t="str">
            <v>https://www.google.com/amp/s/greenkitchenstories.com/feta-spinach-pie-with-an-oat-crust/%3Famp</v>
          </cell>
          <cell r="H80" t="str">
            <v>Preheat the oven to 180C/gas mark 4.
Combine the oat and almond flours, cornflour and sea salt in a bowl.
Add the coconut oil and ice-cold water.
With your hands, work the dry ingredients towards the centre until a dough forms.
Gather the dough into a ball, wrap in bee wax ‘paper’ or place it in a bowl and cover with a plate, then chill for about 30 minutes.
Press the dough evenly into a 20cm tart case.
Trim the dough flush with the edge of the case.
Prick the bottom with a fork and blind bake for about 10 minutes.
Reduce the oven to 170C/gas mark 3.
Crack the eggs into a mixing bowl, whisk for 30 seconds, then crumble in the feta cheese.
Stir in the oregano, chilli flakes, nutmeg and a pinch of salt and pepper.
Set aside.
Heat the olive oil in a large frying pan on a medium-high heat.
Add the spring onions and garlic and fry for about 3 minutes until golden.
Add half of the spinach and a pinch of salt.
Stir the spinach gently until it wilts, then add the rest and keep on stirring until wilted.
Remove from the heat and pour into the mixing bowl containing the egg and cheese mixture.
Stir well until everything is combined.
Spoon the filling into the crust.
Bake for about 30 minutes until the filling is firm and golden.
Let it cool for a while before serving.</v>
          </cell>
        </row>
        <row r="81">
          <cell r="B81" t="str">
            <v>Beach Bum Chili</v>
          </cell>
          <cell r="C81">
            <v>4</v>
          </cell>
          <cell r="F81" t="str">
            <v/>
          </cell>
          <cell r="G81" t="str">
            <v>https://mymeals.earthyandy.com/recipe/6025ce03b6c8c2e513dae502</v>
          </cell>
          <cell r="H81" t="str">
            <v>Wash all the produce.
Peel and chop the onion and carrot(s).
De-stem, de-seed and chop the pepper.
Remove the rough ends from the celery and chop.
Peel and mince the garlic.
Roughly chop the cilantro.
In a large heavy-bottomed pot, heat the olive oil over medium heat until shimmering.
Add the onion, bell pepper, carrots, celery and a pinch of salt.
Stir to combine and cook for about 10 minutes, stirring occasionally, until the vegetables are tender and slightly browned.
Add the garlic, chili powder, cumin, smoked paprika, and oregano and cook, stirring constantly, for about 1 minute, until well combined and garlic has had a chance to cook.
Drain and rinse the beans.
Add the tomatoes and their juices, the black beans, kidney beans, vegetable broth, and bay leaf.
Stir to combine and bring the mixture to a simmer.
Continue cooking, stirring occasionally and reducing the heat as necessary to maintain a gentle simmer, for 30 minutes.
Remove the chili from the heat.
Transfer 1/2 of the chili to a blender, making sure to get some of the liquid.
Securely fasten the lid and blend until smooth (watch out for hot steam), then pour the blended mixture back into the pot.
Alternately, you can blend the chili briefly with an immersion blender or mash it with a potato masher until it reaches a thicker consistency.
Add the chopped cilantro and lime juice. 
Divide the mixture among individual bowls and serve with your choice of garnishes.
Suggested toppings and garnishes: chopped cilantro, sliced avocado, tortilla chips.
The chili will keep in the refrigerator for up to 4 days, or you can freeze for up to one month.</v>
          </cell>
        </row>
        <row r="82">
          <cell r="B82" t="str">
            <v>Vegan Macaroni Cheese</v>
          </cell>
          <cell r="C82">
            <v>2</v>
          </cell>
          <cell r="F82" t="str">
            <v/>
          </cell>
          <cell r="G82" t="str">
            <v/>
          </cell>
          <cell r="H82" t="str">
            <v>Soak cashews for 3 hours.
Steam pumpkin and cauliflower.
Cook pasta.
Blend sauce ingredients.
Combine sauce and pasta.</v>
          </cell>
        </row>
        <row r="83">
          <cell r="B83" t="str">
            <v>Creamy Roasted Squash Dahl</v>
          </cell>
          <cell r="C83">
            <v>4</v>
          </cell>
          <cell r="F83">
            <v>35</v>
          </cell>
          <cell r="G83" t="str">
            <v/>
          </cell>
          <cell r="H83" t="str">
            <v>Preheat the oven to 190C, fan setting.
Cut the butternut squash in half widthways.
Scrape out the seeds from one side before cutting
that half into slices.
Cut the other half into small
bite-sized chunks.
Place all of the butternut squash pieces onto a
baking tray and top with the cinnamon, cumin, a good drizzle of olive oil and a pinch of salt.
Mix well before cooking for 30 minutes, or until the
butternut squash turn's soft.
Place a large pan over a medium heat and add a
drizzle of olive oil.
Once warm, add the diced
onion, garlic and a pinch of salt.
Mix well and cook for 5 minutes until the onion turns soft.
Mix through the turmeric, ginger and curry powder and cook for a minute before adding the red lentils and coconut milk.
Mix well and cook for 15-20 minutes or until the red lentils feel soft, adding the almond milk bit by bit as the mixture absorbs the liquid.
Once the red lentils feel soft, stir through the
spinach, lime juice and bite-sized pieces of butternut squash.
Once ready to serve, mix through the yoghurt.
Top with the roasted butternut squash slices,
some chopped coriander, chilli, toasted almonds,
coconut chips and sliced spring onions before
serving.</v>
          </cell>
        </row>
        <row r="84">
          <cell r="B84" t="str">
            <v>Thai Steamed Fish Pocket</v>
          </cell>
          <cell r="C84">
            <v>2</v>
          </cell>
          <cell r="F84">
            <v>20</v>
          </cell>
          <cell r="G84" t="str">
            <v/>
          </cell>
          <cell r="H84" t="str">
            <v>Preheat oven 200C.
Line heavy duty foil with greaseproof paper.
Combine dressing ingredients.
Place broccoli + fish + pour over dressing.
Close pocket + place in oven for 12 minutes (over coals for 8 minutes).
Cool couscous.
Serve.</v>
          </cell>
        </row>
        <row r="85">
          <cell r="B85" t="str">
            <v>Cashew Pesto Pasta</v>
          </cell>
          <cell r="C85">
            <v>2</v>
          </cell>
          <cell r="F85">
            <v>15</v>
          </cell>
          <cell r="G85" t="str">
            <v/>
          </cell>
          <cell r="H85" t="str">
            <v>Step 1
Place one third of the cashews into a food
processor and pulse for a few seconds until
they're broken up. Toast them in a frying pan
placed over a medium heat until they go golden
brown. Once golden, leave to one side to sprinkle
on top of the pasta.
Step 2
Place the rest of the ingredients (except the pasta
or courgetti) into a blender and blend until a
smooth, creamy pesto forms. You may need to
add a dash more water until you reach the
consistency you like best.
Step 3
Once ready to serve, cook the pasta according to
instructions on the pack (or prep the courgetti).
Once cooked, drain and place back into the pan.
Step 4
Toss the pesto with the cooked pasta (or
courgetti) and sprinkle with the toasted cashews.</v>
          </cell>
        </row>
        <row r="86">
          <cell r="B86" t="str">
            <v>Butter Chickpeas</v>
          </cell>
          <cell r="C86">
            <v>4</v>
          </cell>
          <cell r="F86">
            <v>40</v>
          </cell>
          <cell r="G86" t="str">
            <v>https://thefirstmess.com/2019/09/11/spiced-vegan-butter-chickpeas/</v>
          </cell>
          <cell r="H86" t="str">
            <v>In an upright, high speed blender, combine the drained cashews, water, and maple syrup. Blend on high until you have a heavy cream-like consistency, about 1 minute. Set aside.
Place a large, deep skillet (or braiser) over medium heat.
Add the coconut oil to the skillet and swirl it around.
Add the onions to the skillet and saute until translucent and soft, about 5 minutes.
Add the cumin, coriander, paprika, cardamom, cinnamon, and nutmeg to the skillet, and cook, stirring often, for about 1 minute.
Add the garlic and cook for an additional minute.
Season liberally with salt and pepper and stir.
Add the diced tomatoes and stir to combine.
Then, add the cashew cream and stir.
Carefully transfer the sauce to an upright, high speed blender. Carefully blend the mixture on high until smooth, about 30 seconds.
Return the pureed sauce to the skillet on the stove.
Add the chickpeas and stir.
Bring the vegan “butter” chickpeas to a boil, and then simmer for 10 minutes, or until sauce is slightly thickened and clinging to the chickpeas.
Stir in the lemon juice and check the dish for seasoning.
Adjust salt/pepper/spice/acidity if necessary.
Top the vegan “butter” chickpeas with chopped cilantro.
Serve hot with rice or flatbread of choice.</v>
          </cell>
        </row>
        <row r="87">
          <cell r="B87" t="str">
            <v>Thai Green Curry</v>
          </cell>
          <cell r="C87">
            <v>4</v>
          </cell>
          <cell r="F87">
            <v>30</v>
          </cell>
          <cell r="G87" t="str">
            <v/>
          </cell>
          <cell r="H87" t="str">
            <v>Firstly add all the sauce ingredients into a
blender and whizz into a smooth sauce
Now heat a wok/pan/pot with coconut oil + tamari
adding in the chopped veg to fry for 5 minutes.
Now add in the green sauce (+ water if you feel your sauce needs it) and simmer for 10-15 until the veg has softened.
Finally serve with rice or quinoa, lime juice and
fresh coriander.</v>
          </cell>
        </row>
        <row r="89">
          <cell r="B89" t="str">
            <v>7 Veggie Bolognese</v>
          </cell>
          <cell r="C89" t="str">
            <v/>
          </cell>
          <cell r="F89" t="str">
            <v/>
          </cell>
          <cell r="G89" t="str">
            <v>https://www.instagram.com/reel/CpwvVTcgn6c/?hl=en</v>
          </cell>
          <cell r="H89" t="str">
            <v/>
          </cell>
        </row>
        <row r="90">
          <cell r="B90" t="str">
            <v>Easy Breakfast Muffins</v>
          </cell>
          <cell r="C90" t="str">
            <v/>
          </cell>
          <cell r="F90" t="str">
            <v/>
          </cell>
          <cell r="G90" t="str">
            <v>https://yummylittlebelly.com/recipe/easy-breakfast-muffins/</v>
          </cell>
          <cell r="H90" t="str">
            <v/>
          </cell>
        </row>
        <row r="91">
          <cell r="B91" t="str">
            <v>Lemon and Coconut Bliss Balls</v>
          </cell>
          <cell r="C91" t="str">
            <v/>
          </cell>
          <cell r="F91" t="str">
            <v/>
          </cell>
          <cell r="G91" t="str">
            <v>https://boobtofood.com/lemon-and-coconut-bliss-balls/</v>
          </cell>
          <cell r="H91" t="str">
            <v/>
          </cell>
        </row>
        <row r="92">
          <cell r="B92" t="str">
            <v>Zucchini Slice</v>
          </cell>
          <cell r="C92" t="str">
            <v/>
          </cell>
          <cell r="F92" t="str">
            <v/>
          </cell>
          <cell r="G92" t="str">
            <v>https://boobtofood.com/zucchini-slice/#recipe</v>
          </cell>
          <cell r="H92" t="str">
            <v/>
          </cell>
        </row>
        <row r="93">
          <cell r="B93" t="str">
            <v>Strawberry Mango Popsicles</v>
          </cell>
          <cell r="C93" t="str">
            <v/>
          </cell>
          <cell r="F93" t="str">
            <v/>
          </cell>
          <cell r="G93" t="str">
            <v>http://	https://www.halfbakedharvest.com/3-ingredient-strawberry-mango-popsicles/</v>
          </cell>
          <cell r="H93" t="str">
            <v/>
          </cell>
        </row>
        <row r="94">
          <cell r="B94" t="str">
            <v>Healthy Chocolate Muffins</v>
          </cell>
          <cell r="C94" t="str">
            <v/>
          </cell>
          <cell r="F94" t="str">
            <v/>
          </cell>
          <cell r="G94" t="str">
            <v>https://thenaturalnurturer.com/healthy-chocolate-muffins-with-veggies/</v>
          </cell>
          <cell r="H94" t="str">
            <v/>
          </cell>
        </row>
        <row r="95">
          <cell r="B95" t="str">
            <v>Thai Chicken Meatballs</v>
          </cell>
          <cell r="C95" t="str">
            <v/>
          </cell>
          <cell r="F95" t="str">
            <v/>
          </cell>
          <cell r="G95" t="str">
            <v>https://www.instagram.com/reel/DEksX06RTvA/?igsh=MWd4bWc0bjcwYTMxbA%3D%3D</v>
          </cell>
          <cell r="H95" t="str">
            <v/>
          </cell>
        </row>
        <row r="96">
          <cell r="B96" t="str">
            <v>Coconut Lime Cod Bowl</v>
          </cell>
          <cell r="C96" t="str">
            <v/>
          </cell>
          <cell r="F96" t="str">
            <v/>
          </cell>
          <cell r="G96" t="str">
            <v>https://www.instagram.com/reel/DD7mf55owNw/?igsh=MWt4OWhpY2tucHk0MA%3D%3D</v>
          </cell>
          <cell r="H96" t="str">
            <v/>
          </cell>
        </row>
        <row r="97">
          <cell r="B97" t="str">
            <v>Chocolate Avocado Pudding Pops</v>
          </cell>
          <cell r="C97" t="str">
            <v/>
          </cell>
          <cell r="F97" t="str">
            <v/>
          </cell>
          <cell r="G97" t="str">
            <v>http://Chocolate Avocado Pudding Pops</v>
          </cell>
          <cell r="H97" t="str">
            <v/>
          </cell>
        </row>
        <row r="98">
          <cell r="B98" t="str">
            <v>Shakshuka</v>
          </cell>
          <cell r="C98">
            <v>6</v>
          </cell>
          <cell r="F98" t="str">
            <v/>
          </cell>
          <cell r="G98" t="str">
            <v/>
          </cell>
          <cell r="H98" t="str">
            <v/>
          </cell>
        </row>
        <row r="99">
          <cell r="B99" t="str">
            <v>Healthy Quinoa Fried Rice</v>
          </cell>
          <cell r="C99" t="str">
            <v/>
          </cell>
          <cell r="F99" t="str">
            <v/>
          </cell>
          <cell r="G99" t="str">
            <v>https://healthygirlkitchen.com/recipes/healthy-quinoa-fried-rice-veganplant-basedgluten-free%e2%81%a3%e2%81%a3/</v>
          </cell>
          <cell r="H99" t="str">
            <v/>
          </cell>
        </row>
      </sheetData>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C28D4-6815-40E1-A2EC-16FA9BE88678}">
  <dimension ref="A1:G66"/>
  <sheetViews>
    <sheetView tabSelected="1" workbookViewId="0">
      <selection sqref="A1:G66"/>
    </sheetView>
  </sheetViews>
  <sheetFormatPr defaultRowHeight="15" x14ac:dyDescent="0.25"/>
  <cols>
    <col min="1" max="1" width="58.140625" bestFit="1" customWidth="1"/>
    <col min="2" max="2" width="45.28515625" bestFit="1" customWidth="1"/>
  </cols>
  <sheetData>
    <row r="1" spans="1:7" x14ac:dyDescent="0.25">
      <c r="A1" t="s">
        <v>0</v>
      </c>
      <c r="B1" t="s">
        <v>66</v>
      </c>
      <c r="C1" t="s">
        <v>67</v>
      </c>
      <c r="D1" t="s">
        <v>68</v>
      </c>
      <c r="E1" t="s">
        <v>69</v>
      </c>
      <c r="F1" t="s">
        <v>70</v>
      </c>
      <c r="G1" t="s">
        <v>71</v>
      </c>
    </row>
    <row r="2" spans="1:7" x14ac:dyDescent="0.25">
      <c r="A2" t="s">
        <v>1</v>
      </c>
      <c r="B2" t="s">
        <v>72</v>
      </c>
    </row>
    <row r="3" spans="1:7" x14ac:dyDescent="0.25">
      <c r="A3" t="s">
        <v>2</v>
      </c>
      <c r="B3" t="s">
        <v>72</v>
      </c>
    </row>
    <row r="4" spans="1:7" x14ac:dyDescent="0.25">
      <c r="A4" t="s">
        <v>3</v>
      </c>
      <c r="B4" t="str">
        <f>VLOOKUP($A4,[1]Sheet8!$B:$H,MATCH([1]recipes!B$1,[1]Sheet8!$B$1:$H$1,0),0)</f>
        <v/>
      </c>
      <c r="C4">
        <f>VLOOKUP($A4,[1]Sheet8!$B:$H,MATCH([1]recipes!C$1,[1]Sheet8!$B$1:$H$1,0),0)</f>
        <v>2</v>
      </c>
      <c r="D4">
        <f>VLOOKUP($A4,[1]Sheet8!$B:$H,MATCH([1]recipes!D$1,[1]Sheet8!$B$1:$H$1,0),0)</f>
        <v>0</v>
      </c>
      <c r="E4">
        <f>VLOOKUP($A4,[1]Sheet8!$B:$H,MATCH([1]recipes!E$1,[1]Sheet8!$B$1:$H$1,0),0)</f>
        <v>0</v>
      </c>
      <c r="F4">
        <f>VLOOKUP($A4,[1]Sheet8!$B:$H,MATCH([1]recipes!F$1,[1]Sheet8!$B$1:$H$1,0),0)</f>
        <v>5</v>
      </c>
      <c r="G4" t="str">
        <f>VLOOKUP($A4,[1]Sheet8!$B:$H,MATCH([1]recipes!G$1,[1]Sheet8!$B$1:$H$1,0),0)</f>
        <v/>
      </c>
    </row>
    <row r="5" spans="1:7" x14ac:dyDescent="0.25">
      <c r="A5" t="s">
        <v>4</v>
      </c>
      <c r="B5" t="str">
        <f>VLOOKUP($A5,[1]Sheet8!$B:$H,MATCH([1]recipes!B$1,[1]Sheet8!$B$1:$H$1,0),0)</f>
        <v>Warm meal.
Make rice.
Fry paratas in a small amount of buter.</v>
      </c>
      <c r="C5">
        <f>VLOOKUP($A5,[1]Sheet8!$B:$H,MATCH([1]recipes!C$1,[1]Sheet8!$B$1:$H$1,0),0)</f>
        <v>3</v>
      </c>
      <c r="D5">
        <f>VLOOKUP($A5,[1]Sheet8!$B:$H,MATCH([1]recipes!D$1,[1]Sheet8!$B$1:$H$1,0),0)</f>
        <v>0</v>
      </c>
      <c r="E5">
        <f>VLOOKUP($A5,[1]Sheet8!$B:$H,MATCH([1]recipes!E$1,[1]Sheet8!$B$1:$H$1,0),0)</f>
        <v>0</v>
      </c>
      <c r="F5">
        <f>VLOOKUP($A5,[1]Sheet8!$B:$H,MATCH([1]recipes!F$1,[1]Sheet8!$B$1:$H$1,0),0)</f>
        <v>30</v>
      </c>
      <c r="G5" t="str">
        <f>VLOOKUP($A5,[1]Sheet8!$B:$H,MATCH([1]recipes!G$1,[1]Sheet8!$B$1:$H$1,0),0)</f>
        <v/>
      </c>
    </row>
    <row r="6" spans="1:7" x14ac:dyDescent="0.25">
      <c r="A6" t="s">
        <v>5</v>
      </c>
      <c r="B6" t="str">
        <f>VLOOKUP($A6,[1]Sheet8!$B:$H,MATCH([1]recipes!B$1,[1]Sheet8!$B$1:$H$1,0),0)</f>
        <v>1. Clean sweetcorn.
2. Boil in salted water.
3. Char on the braai.
4. Brush with melted butter and top with chipotle spice and a squeeze of lime.</v>
      </c>
      <c r="C6">
        <f>VLOOKUP($A6,[1]Sheet8!$B:$H,MATCH([1]recipes!C$1,[1]Sheet8!$B$1:$H$1,0),0)</f>
        <v>4</v>
      </c>
      <c r="D6">
        <f>VLOOKUP($A6,[1]Sheet8!$B:$H,MATCH([1]recipes!D$1,[1]Sheet8!$B$1:$H$1,0),0)</f>
        <v>0</v>
      </c>
      <c r="E6">
        <f>VLOOKUP($A6,[1]Sheet8!$B:$H,MATCH([1]recipes!E$1,[1]Sheet8!$B$1:$H$1,0),0)</f>
        <v>0</v>
      </c>
      <c r="F6">
        <f>VLOOKUP($A6,[1]Sheet8!$B:$H,MATCH([1]recipes!F$1,[1]Sheet8!$B$1:$H$1,0),0)</f>
        <v>20</v>
      </c>
      <c r="G6" t="str">
        <f>VLOOKUP($A6,[1]Sheet8!$B:$H,MATCH([1]recipes!G$1,[1]Sheet8!$B$1:$H$1,0),0)</f>
        <v/>
      </c>
    </row>
    <row r="7" spans="1:7" x14ac:dyDescent="0.25">
      <c r="A7" t="s">
        <v>6</v>
      </c>
      <c r="B7" t="str">
        <f>VLOOKUP($A7,[1]Sheet8!$B:$H,MATCH([1]recipes!B$1,[1]Sheet8!$B$1:$H$1,0),0)</f>
        <v>1. Preheat oven to 220 C.
2. Add your rinsed, drained and dried chickpeas on a baking sheet lined with parchment paper.
3. Bake for 30-35 minutes or until crunchy and golden brown. Do not burn!
4. Pan fry coconut flakes until toasted (30g = 1cup).
5. Melt chocolate and coconut oil in a bowl in 30-second increments, stirring each time, until completely melted.
6. Combine the chickpeas, coconut flakes and chocolate in a bowl and stir. 7. Add back onto the parchment on the baking sheet and spread evenly into 1-layer.
8. Put in the freezer and allow it to harden for at least 15 minutes.
9. Serve and enjoy!
(Store in fridge or freezer.)</v>
      </c>
      <c r="C7">
        <f>VLOOKUP($A7,[1]Sheet8!$B:$H,MATCH([1]recipes!C$1,[1]Sheet8!$B$1:$H$1,0),0)</f>
        <v>10</v>
      </c>
      <c r="D7">
        <f>VLOOKUP($A7,[1]Sheet8!$B:$H,MATCH([1]recipes!D$1,[1]Sheet8!$B$1:$H$1,0),0)</f>
        <v>0</v>
      </c>
      <c r="E7">
        <f>VLOOKUP($A7,[1]Sheet8!$B:$H,MATCH([1]recipes!E$1,[1]Sheet8!$B$1:$H$1,0),0)</f>
        <v>0</v>
      </c>
      <c r="F7">
        <f>VLOOKUP($A7,[1]Sheet8!$B:$H,MATCH([1]recipes!F$1,[1]Sheet8!$B$1:$H$1,0),0)</f>
        <v>45</v>
      </c>
      <c r="G7" t="str">
        <f>VLOOKUP($A7,[1]Sheet8!$B:$H,MATCH([1]recipes!G$1,[1]Sheet8!$B$1:$H$1,0),0)</f>
        <v>https://healthygirlkitchen.com/recipes/vegan-chocolate-chickpea-bark-oil-free/</v>
      </c>
    </row>
    <row r="8" spans="1:7" x14ac:dyDescent="0.25">
      <c r="A8" t="s">
        <v>7</v>
      </c>
      <c r="B8" t="str">
        <f>VLOOKUP($A8,[1]Sheet8!$B:$H,MATCH([1]recipes!B$1,[1]Sheet8!$B$1:$H$1,0),0)</f>
        <v>1. Preheat the grill.
2. Grease a baking tray and arrange the frozen hake fillets on the tray.
3. Season with salt, pepper and add a large knob of butter.
4. Grill for 5–7 minutes.</v>
      </c>
      <c r="C8">
        <f>VLOOKUP($A8,[1]Sheet8!$B:$H,MATCH([1]recipes!C$1,[1]Sheet8!$B$1:$H$1,0),0)</f>
        <v>2</v>
      </c>
      <c r="D8">
        <f>VLOOKUP($A8,[1]Sheet8!$B:$H,MATCH([1]recipes!D$1,[1]Sheet8!$B$1:$H$1,0),0)</f>
        <v>0</v>
      </c>
      <c r="E8">
        <f>VLOOKUP($A8,[1]Sheet8!$B:$H,MATCH([1]recipes!E$1,[1]Sheet8!$B$1:$H$1,0),0)</f>
        <v>0</v>
      </c>
      <c r="F8">
        <f>VLOOKUP($A8,[1]Sheet8!$B:$H,MATCH([1]recipes!F$1,[1]Sheet8!$B$1:$H$1,0),0)</f>
        <v>10</v>
      </c>
      <c r="G8" t="str">
        <f>VLOOKUP($A8,[1]Sheet8!$B:$H,MATCH([1]recipes!G$1,[1]Sheet8!$B$1:$H$1,0),0)</f>
        <v/>
      </c>
    </row>
    <row r="9" spans="1:7" x14ac:dyDescent="0.25">
      <c r="A9" t="s">
        <v>8</v>
      </c>
      <c r="B9" t="str">
        <f>VLOOKUP($A9,[1]Sheet8!$B:$H,MATCH([1]recipes!B$1,[1]Sheet8!$B$1:$H$1,0),0)</f>
        <v/>
      </c>
      <c r="C9">
        <f>VLOOKUP($A9,[1]Sheet8!$B:$H,MATCH([1]recipes!C$1,[1]Sheet8!$B$1:$H$1,0),0)</f>
        <v>4</v>
      </c>
      <c r="D9">
        <f>VLOOKUP($A9,[1]Sheet8!$B:$H,MATCH([1]recipes!D$1,[1]Sheet8!$B$1:$H$1,0),0)</f>
        <v>0</v>
      </c>
      <c r="E9">
        <f>VLOOKUP($A9,[1]Sheet8!$B:$H,MATCH([1]recipes!E$1,[1]Sheet8!$B$1:$H$1,0),0)</f>
        <v>0</v>
      </c>
      <c r="F9" t="str">
        <f>VLOOKUP($A9,[1]Sheet8!$B:$H,MATCH([1]recipes!F$1,[1]Sheet8!$B$1:$H$1,0),0)</f>
        <v/>
      </c>
      <c r="G9" t="str">
        <f>VLOOKUP($A9,[1]Sheet8!$B:$H,MATCH([1]recipes!G$1,[1]Sheet8!$B$1:$H$1,0),0)</f>
        <v/>
      </c>
    </row>
    <row r="10" spans="1:7" x14ac:dyDescent="0.25">
      <c r="A10" t="s">
        <v>9</v>
      </c>
      <c r="B10" t="str">
        <f>VLOOKUP($A10,[1]Sheet8!$B:$H,MATCH([1]recipes!B$1,[1]Sheet8!$B$1:$H$1,0),0)</f>
        <v>1. Dish half a cup of yoghurt into a bowl.
2. Peel and grate the mango (which should be frozen).
3. Grate some lime/lemon zest.
4. Add chopped chocolate and mint with some cubed mango.</v>
      </c>
      <c r="C10" t="str">
        <f>VLOOKUP($A10,[1]Sheet8!$B:$H,MATCH([1]recipes!C$1,[1]Sheet8!$B$1:$H$1,0),0)</f>
        <v/>
      </c>
      <c r="D10">
        <f>VLOOKUP($A10,[1]Sheet8!$B:$H,MATCH([1]recipes!D$1,[1]Sheet8!$B$1:$H$1,0),0)</f>
        <v>0</v>
      </c>
      <c r="E10">
        <f>VLOOKUP($A10,[1]Sheet8!$B:$H,MATCH([1]recipes!E$1,[1]Sheet8!$B$1:$H$1,0),0)</f>
        <v>0</v>
      </c>
      <c r="F10" t="str">
        <f>VLOOKUP($A10,[1]Sheet8!$B:$H,MATCH([1]recipes!F$1,[1]Sheet8!$B$1:$H$1,0),0)</f>
        <v/>
      </c>
      <c r="G10" t="str">
        <f>VLOOKUP($A10,[1]Sheet8!$B:$H,MATCH([1]recipes!G$1,[1]Sheet8!$B$1:$H$1,0),0)</f>
        <v>https://www.instagram.com/p/C3aez42Nf9R/</v>
      </c>
    </row>
    <row r="11" spans="1:7" x14ac:dyDescent="0.25">
      <c r="A11" t="s">
        <v>10</v>
      </c>
      <c r="B11" t="str">
        <f>VLOOKUP($A11,[1]Sheet8!$B:$H,MATCH([1]recipes!B$1,[1]Sheet8!$B$1:$H$1,0),0)</f>
        <v>1. Warm milk in nutribullet cup for 2 mins.
2. Add other ingredients.
3. Mix in nutribullet.
4. Heat again in microwave in 30sec increments (about 4 times).</v>
      </c>
      <c r="C11">
        <f>VLOOKUP($A11,[1]Sheet8!$B:$H,MATCH([1]recipes!C$1,[1]Sheet8!$B$1:$H$1,0),0)</f>
        <v>2</v>
      </c>
      <c r="D11">
        <f>VLOOKUP($A11,[1]Sheet8!$B:$H,MATCH([1]recipes!D$1,[1]Sheet8!$B$1:$H$1,0),0)</f>
        <v>0</v>
      </c>
      <c r="E11">
        <f>VLOOKUP($A11,[1]Sheet8!$B:$H,MATCH([1]recipes!E$1,[1]Sheet8!$B$1:$H$1,0),0)</f>
        <v>0</v>
      </c>
      <c r="F11">
        <f>VLOOKUP($A11,[1]Sheet8!$B:$H,MATCH([1]recipes!F$1,[1]Sheet8!$B$1:$H$1,0),0)</f>
        <v>10</v>
      </c>
      <c r="G11" t="str">
        <f>VLOOKUP($A11,[1]Sheet8!$B:$H,MATCH([1]recipes!G$1,[1]Sheet8!$B$1:$H$1,0),0)</f>
        <v>https://www.theconsciousplantkitchen.com/vegan-hot-chocolate/</v>
      </c>
    </row>
    <row r="12" spans="1:7" x14ac:dyDescent="0.25">
      <c r="A12" t="s">
        <v>11</v>
      </c>
      <c r="B12" t="str">
        <f>VLOOKUP($A12,[1]Sheet8!$B:$H,MATCH([1]recipes!B$1,[1]Sheet8!$B$1:$H$1,0),0)</f>
        <v>Pour coconut oil and honey into a heatproof bowl.
Microwave for about 40 seconds, until the coconut
oil is completely melted.
Add the peanut butter,
vanilla and a pinch of salt to the honey &amp; coconut oil
mixture.
Mix well until all combined.
Line an ice tray with paper cases, pour the peanut butter mixture into the cases, place the trays
in the freezer and eat once set.
They'll also be delicious drizzled with melted
chocolate.</v>
      </c>
      <c r="C12" t="str">
        <f>VLOOKUP($A12,[1]Sheet8!$B:$H,MATCH([1]recipes!C$1,[1]Sheet8!$B$1:$H$1,0),0)</f>
        <v/>
      </c>
      <c r="D12">
        <f>VLOOKUP($A12,[1]Sheet8!$B:$H,MATCH([1]recipes!D$1,[1]Sheet8!$B$1:$H$1,0),0)</f>
        <v>0</v>
      </c>
      <c r="E12">
        <f>VLOOKUP($A12,[1]Sheet8!$B:$H,MATCH([1]recipes!E$1,[1]Sheet8!$B$1:$H$1,0),0)</f>
        <v>0</v>
      </c>
      <c r="F12" t="str">
        <f>VLOOKUP($A12,[1]Sheet8!$B:$H,MATCH([1]recipes!F$1,[1]Sheet8!$B$1:$H$1,0),0)</f>
        <v/>
      </c>
      <c r="G12" t="str">
        <f>VLOOKUP($A12,[1]Sheet8!$B:$H,MATCH([1]recipes!G$1,[1]Sheet8!$B$1:$H$1,0),0)</f>
        <v>https://www.cocobeancooks.com/post/peanut-butter-freezer-fudge</v>
      </c>
    </row>
    <row r="13" spans="1:7" x14ac:dyDescent="0.25">
      <c r="A13" t="s">
        <v>12</v>
      </c>
      <c r="B13" t="str">
        <f>VLOOKUP($A13,[1]Sheet8!$B:$H,MATCH([1]recipes!B$1,[1]Sheet8!$B$1:$H$1,0),0)</f>
        <v>1. Add butter to a frying pain and saute almonds until golden.
2. Then add mushrooms, the juice of half a lemon, 2T parsley, salt and pepper.
3. Cook gently over low heat until mushrooms are tender.
4. Stir in the cream and heat through.
5. Serve over fish with a sprinkle of parsley on top.</v>
      </c>
      <c r="C13">
        <f>VLOOKUP($A13,[1]Sheet8!$B:$H,MATCH([1]recipes!C$1,[1]Sheet8!$B$1:$H$1,0),0)</f>
        <v>6</v>
      </c>
      <c r="D13">
        <f>VLOOKUP($A13,[1]Sheet8!$B:$H,MATCH([1]recipes!D$1,[1]Sheet8!$B$1:$H$1,0),0)</f>
        <v>0</v>
      </c>
      <c r="E13">
        <f>VLOOKUP($A13,[1]Sheet8!$B:$H,MATCH([1]recipes!E$1,[1]Sheet8!$B$1:$H$1,0),0)</f>
        <v>0</v>
      </c>
      <c r="F13" t="str">
        <f>VLOOKUP($A13,[1]Sheet8!$B:$H,MATCH([1]recipes!F$1,[1]Sheet8!$B$1:$H$1,0),0)</f>
        <v/>
      </c>
      <c r="G13" t="str">
        <f>VLOOKUP($A13,[1]Sheet8!$B:$H,MATCH([1]recipes!G$1,[1]Sheet8!$B$1:$H$1,0),0)</f>
        <v/>
      </c>
    </row>
    <row r="14" spans="1:7" x14ac:dyDescent="0.25">
      <c r="A14" t="s">
        <v>13</v>
      </c>
      <c r="B14" t="str">
        <f>VLOOKUP($A14,[1]Sheet8!$B:$H,MATCH([1]recipes!B$1,[1]Sheet8!$B$1:$H$1,0),0)</f>
        <v>1. In a large pot over medium heat, bring 3L of heavily salted water to a boil. Have a large bowl of ice water ready on the side.
2. Add the broccolini and cook for 2 to 3 minutes, depending on the size of the broccolini. Quickly drain the water and place the broccolini in the ice bath to stop the cooking process. When the broccolini is cool remove them from the ice bath and place on a paper towel- lined plate.
3. Preheat the oven to broil with a rack set in the top third of the oven. In a medium bowl toss the broccolini in olive oil, shallot, garlic to coat then arrange in a single even layer on a baking sheet.
4. Sprinkle it with red pepper flakes and sea salt. Broil until the tips of the broccolini start to char but are not burnt, about 5 to 6 minutes.
5. Remove from the broiler and place back in the bowl. Add the red wine vinegar and chili oil and serve.</v>
      </c>
      <c r="C14">
        <f>VLOOKUP($A14,[1]Sheet8!$B:$H,MATCH([1]recipes!C$1,[1]Sheet8!$B$1:$H$1,0),0)</f>
        <v>4</v>
      </c>
      <c r="D14">
        <f>VLOOKUP($A14,[1]Sheet8!$B:$H,MATCH([1]recipes!D$1,[1]Sheet8!$B$1:$H$1,0),0)</f>
        <v>0</v>
      </c>
      <c r="E14">
        <f>VLOOKUP($A14,[1]Sheet8!$B:$H,MATCH([1]recipes!E$1,[1]Sheet8!$B$1:$H$1,0),0)</f>
        <v>0</v>
      </c>
      <c r="F14">
        <f>VLOOKUP($A14,[1]Sheet8!$B:$H,MATCH([1]recipes!F$1,[1]Sheet8!$B$1:$H$1,0),0)</f>
        <v>15</v>
      </c>
      <c r="G14" t="str">
        <f>VLOOKUP($A14,[1]Sheet8!$B:$H,MATCH([1]recipes!G$1,[1]Sheet8!$B$1:$H$1,0),0)</f>
        <v>https://whatsgabycooking.com/the-best-chili-garlic-broccolini/</v>
      </c>
    </row>
    <row r="15" spans="1:7" x14ac:dyDescent="0.25">
      <c r="A15" t="s">
        <v>14</v>
      </c>
      <c r="B15" t="str">
        <f>VLOOKUP($A15,[1]Sheet8!$B:$H,MATCH([1]recipes!B$1,[1]Sheet8!$B$1:$H$1,0),0)</f>
        <v>1. Blend drained chickpeas with pesto.
2. Spread chickpea pesto on the bread.
3. Top one side of the sandwich with rocket, artichoke and avocado.
4. Put other half of bread on top and toast in a press.</v>
      </c>
      <c r="C15">
        <f>VLOOKUP($A15,[1]Sheet8!$B:$H,MATCH([1]recipes!C$1,[1]Sheet8!$B$1:$H$1,0),0)</f>
        <v>2</v>
      </c>
      <c r="D15">
        <f>VLOOKUP($A15,[1]Sheet8!$B:$H,MATCH([1]recipes!D$1,[1]Sheet8!$B$1:$H$1,0),0)</f>
        <v>0</v>
      </c>
      <c r="E15">
        <f>VLOOKUP($A15,[1]Sheet8!$B:$H,MATCH([1]recipes!E$1,[1]Sheet8!$B$1:$H$1,0),0)</f>
        <v>0</v>
      </c>
      <c r="F15">
        <f>VLOOKUP($A15,[1]Sheet8!$B:$H,MATCH([1]recipes!F$1,[1]Sheet8!$B$1:$H$1,0),0)</f>
        <v>10</v>
      </c>
      <c r="G15" t="str">
        <f>VLOOKUP($A15,[1]Sheet8!$B:$H,MATCH([1]recipes!G$1,[1]Sheet8!$B$1:$H$1,0),0)</f>
        <v/>
      </c>
    </row>
    <row r="16" spans="1:7" x14ac:dyDescent="0.25">
      <c r="A16" t="s">
        <v>15</v>
      </c>
      <c r="B16" t="str">
        <f>VLOOKUP($A16,[1]Sheet8!$B:$H,MATCH([1]recipes!B$1,[1]Sheet8!$B$1:$H$1,0),0)</f>
        <v>Place ingredients on a baking tray (except coconut flakes).
Cover with honey.
Bake until golden.
Allow to cool.
Combine coconut flakes.</v>
      </c>
      <c r="C16" t="str">
        <f>VLOOKUP($A16,[1]Sheet8!$B:$H,MATCH([1]recipes!C$1,[1]Sheet8!$B$1:$H$1,0),0)</f>
        <v/>
      </c>
      <c r="D16">
        <f>VLOOKUP($A16,[1]Sheet8!$B:$H,MATCH([1]recipes!D$1,[1]Sheet8!$B$1:$H$1,0),0)</f>
        <v>0</v>
      </c>
      <c r="E16">
        <f>VLOOKUP($A16,[1]Sheet8!$B:$H,MATCH([1]recipes!E$1,[1]Sheet8!$B$1:$H$1,0),0)</f>
        <v>0</v>
      </c>
      <c r="F16" t="str">
        <f>VLOOKUP($A16,[1]Sheet8!$B:$H,MATCH([1]recipes!F$1,[1]Sheet8!$B$1:$H$1,0),0)</f>
        <v/>
      </c>
      <c r="G16" t="str">
        <f>VLOOKUP($A16,[1]Sheet8!$B:$H,MATCH([1]recipes!G$1,[1]Sheet8!$B$1:$H$1,0),0)</f>
        <v/>
      </c>
    </row>
    <row r="17" spans="1:7" x14ac:dyDescent="0.25">
      <c r="A17" t="s">
        <v>16</v>
      </c>
      <c r="B17" t="str">
        <f>VLOOKUP($A17,[1]Sheet8!$B:$H,MATCH([1]recipes!B$1,[1]Sheet8!$B$1:$H$1,0),0)</f>
        <v xml:space="preserve">Preheat the oven to 180°C. Line a baking tray with baking paper.
Arrange the pumpkin pieces on the baking tray. Drizzle with 2 tablespoons olive oil and season with sea salt and pepper. Place the tray in the oven to roast for 25 minutes.
Whilst the pumpkin is roasting, heat the remaining olive oil in a non-stick frying pan over a medium heat. Add the sliced onion to the pan and cook for 6-7 minutes until softened. Add the balsamic vinegar and coconut sugar and stir to coat. Reduce the heat slightly and cook for a further 7-8 minutes or until the onion is golden and caramelised.
Meanwhile, crack the eggs into a large mixing bowl and season with sea salt and black pepper. Whisk the egg mix until light and fluffy. Add in the chopped rosemary and whisk again.
Line a baking dish or quiche dish with baking paper. We used a 20cm by 30cm dish. Spread the shredded spinach leaves and half of the roasted pumpkin and onion across the base of the dish. Pour the egg mixture evenly over the top. Place the remaining pumpkin and onion on top of the egg mix. Crumble the goat’s cheese over the top.
Place the frittata in the oven to bake for 25 minutes.
Keep stored in an airtight container in the fridge for 4 days. 
Makes: 6-8 slices </v>
      </c>
      <c r="C17">
        <f>VLOOKUP($A17,[1]Sheet8!$B:$H,MATCH([1]recipes!C$1,[1]Sheet8!$B$1:$H$1,0),0)</f>
        <v>4</v>
      </c>
      <c r="D17">
        <f>VLOOKUP($A17,[1]Sheet8!$B:$H,MATCH([1]recipes!D$1,[1]Sheet8!$B$1:$H$1,0),0)</f>
        <v>0</v>
      </c>
      <c r="E17">
        <f>VLOOKUP($A17,[1]Sheet8!$B:$H,MATCH([1]recipes!E$1,[1]Sheet8!$B$1:$H$1,0),0)</f>
        <v>0</v>
      </c>
      <c r="F17" t="str">
        <f>VLOOKUP($A17,[1]Sheet8!$B:$H,MATCH([1]recipes!F$1,[1]Sheet8!$B$1:$H$1,0),0)</f>
        <v/>
      </c>
      <c r="G17" t="str">
        <f>VLOOKUP($A17,[1]Sheet8!$B:$H,MATCH([1]recipes!G$1,[1]Sheet8!$B$1:$H$1,0),0)</f>
        <v>https://www.instagram.com/p/C3qXj-zSiM8/</v>
      </c>
    </row>
    <row r="18" spans="1:7" x14ac:dyDescent="0.25">
      <c r="A18" t="s">
        <v>17</v>
      </c>
      <c r="B18" t="str">
        <f>VLOOKUP($A18,[1]Sheet8!$B:$H,MATCH([1]recipes!B$1,[1]Sheet8!$B$1:$H$1,0),0)</f>
        <v>1. Grate parmesan.
2. Toast pine nutes.
3. Pour 2 cups of peas into a glass measuring cup/glass bowl and cover the peas with water. Microwave the peas for 2 minutes, strain and then place the peas into your food processor/blender.
4. Add the remaining pea purée ingredients to the food processor/blender and blend on high until very smooth. Cover and set aside while you make your gnocchi.
5. Melt 1 tablespoon of coconut oil in large skillet over medium heat until melted, then add the gnocchi to the pan. Saute the gnocchi until it starts to turn golden and crispy, tossing frequently to crisp on all sides.
6. Serve immediately with Parmesan Pea Purée, toasted pine nuts, mint leaves (if desired) and more Parmesan cheese (if desired).</v>
      </c>
      <c r="C18">
        <f>VLOOKUP($A18,[1]Sheet8!$B:$H,MATCH([1]recipes!C$1,[1]Sheet8!$B$1:$H$1,0),0)</f>
        <v>2</v>
      </c>
      <c r="D18">
        <f>VLOOKUP($A18,[1]Sheet8!$B:$H,MATCH([1]recipes!D$1,[1]Sheet8!$B$1:$H$1,0),0)</f>
        <v>0</v>
      </c>
      <c r="E18">
        <f>VLOOKUP($A18,[1]Sheet8!$B:$H,MATCH([1]recipes!E$1,[1]Sheet8!$B$1:$H$1,0),0)</f>
        <v>0</v>
      </c>
      <c r="F18">
        <f>VLOOKUP($A18,[1]Sheet8!$B:$H,MATCH([1]recipes!F$1,[1]Sheet8!$B$1:$H$1,0),0)</f>
        <v>30</v>
      </c>
      <c r="G18" t="str">
        <f>VLOOKUP($A18,[1]Sheet8!$B:$H,MATCH([1]recipes!G$1,[1]Sheet8!$B$1:$H$1,0),0)</f>
        <v>https://www.healthylittlevittles.com/crispy-cauliflower-gnocchi-with-parmesan-pea-puree/</v>
      </c>
    </row>
    <row r="19" spans="1:7" x14ac:dyDescent="0.25">
      <c r="A19" t="s">
        <v>18</v>
      </c>
      <c r="B19" t="str">
        <f>VLOOKUP($A19,[1]Sheet8!$B:$H,MATCH([1]recipes!B$1,[1]Sheet8!$B$1:$H$1,0),0)</f>
        <v>1. Whisk together the cocoa powder, espresso and vanilla in a bowl and set aside
2. In a mixer or using a hand mixer, beat the egg yolks and sugar until pale and thick, about 5 minutes.
3. Add in the salt, mascarpone cheese and continue to whip until smooth.
4. Add the chilled cream and continue to whip, until light, creamy, smooth and can hold a soft peak.
5. Dunk each ladyfinger in the espresso mixture to absorb the liquid and start to line a 7×11 oval baking dish with the cookies.
6. Top the first layer of cookies with ½ of the whipped mascarpone mixture and use the back of a metal spoon to spread it into an even layer.
7. Dust with cocoa powder.
8. Repeat for another layer and then finish by dusting with cocoa powder on top.
9. Cover with plastic wrap and chill for at least 2 hours before serving.</v>
      </c>
      <c r="C19">
        <f>VLOOKUP($A19,[1]Sheet8!$B:$H,MATCH([1]recipes!C$1,[1]Sheet8!$B$1:$H$1,0),0)</f>
        <v>8</v>
      </c>
      <c r="D19">
        <f>VLOOKUP($A19,[1]Sheet8!$B:$H,MATCH([1]recipes!D$1,[1]Sheet8!$B$1:$H$1,0),0)</f>
        <v>0</v>
      </c>
      <c r="E19">
        <f>VLOOKUP($A19,[1]Sheet8!$B:$H,MATCH([1]recipes!E$1,[1]Sheet8!$B$1:$H$1,0),0)</f>
        <v>0</v>
      </c>
      <c r="F19">
        <f>VLOOKUP($A19,[1]Sheet8!$B:$H,MATCH([1]recipes!F$1,[1]Sheet8!$B$1:$H$1,0),0)</f>
        <v>15</v>
      </c>
      <c r="G19" t="str">
        <f>VLOOKUP($A19,[1]Sheet8!$B:$H,MATCH([1]recipes!G$1,[1]Sheet8!$B$1:$H$1,0),0)</f>
        <v>https://whatsgabycooking.com/classic-italian-tiramisu/</v>
      </c>
    </row>
    <row r="20" spans="1:7" x14ac:dyDescent="0.25">
      <c r="A20" t="s">
        <v>19</v>
      </c>
      <c r="B20" t="str">
        <f>VLOOKUP($A20,[1]Sheet8!$B:$H,MATCH([1]recipes!B$1,[1]Sheet8!$B$1:$H$1,0),0)</f>
        <v>Place a medium, saucepan over a medium/high heat, add the olive oil leek, garlic, and a good pinch of salt. Cook this stirring for 4-5 minutes, stirring often.
Add the baby spinach, peas and cook another 2 minutes, to wilt the spinach and defrost the peas.
Transfer ¾ of the veggie mix to a blender, keep the remainder in the pot, set aside.
Add half the 1/3 of the cottage cheese to the blender along with the vegetable stock, blending to a smooth sauce.
Bring a large pan of lightly salted water to the boil and add the pasta, cooking according to packet instructions.
Add the snap peas to the pasta for the last minute of cooking then drain both, reserving ½ cup pasta water.
Add the pasta back to the pan with reserved veggies. Pour over the sauce and stir through to combine well, using a little pasta water if needed to thin out.
Season to taste and serve, topped with remaining cottage cheese and a crack of black pepper.</v>
      </c>
      <c r="C20">
        <f>VLOOKUP($A20,[1]Sheet8!$B:$H,MATCH([1]recipes!C$1,[1]Sheet8!$B$1:$H$1,0),0)</f>
        <v>4</v>
      </c>
      <c r="D20">
        <f>VLOOKUP($A20,[1]Sheet8!$B:$H,MATCH([1]recipes!D$1,[1]Sheet8!$B$1:$H$1,0),0)</f>
        <v>0</v>
      </c>
      <c r="E20">
        <f>VLOOKUP($A20,[1]Sheet8!$B:$H,MATCH([1]recipes!E$1,[1]Sheet8!$B$1:$H$1,0),0)</f>
        <v>0</v>
      </c>
      <c r="F20" t="str">
        <f>VLOOKUP($A20,[1]Sheet8!$B:$H,MATCH([1]recipes!F$1,[1]Sheet8!$B$1:$H$1,0),0)</f>
        <v/>
      </c>
      <c r="G20" t="str">
        <f>VLOOKUP($A20,[1]Sheet8!$B:$H,MATCH([1]recipes!G$1,[1]Sheet8!$B$1:$H$1,0),0)</f>
        <v>https://www.instagram.com/p/DDJuFm1Srq8/</v>
      </c>
    </row>
    <row r="21" spans="1:7" x14ac:dyDescent="0.25">
      <c r="A21" t="s">
        <v>20</v>
      </c>
      <c r="B21" t="str">
        <f>VLOOKUP($A21,[1]Sheet8!$B:$H,MATCH([1]recipes!B$1,[1]Sheet8!$B$1:$H$1,0),0)</f>
        <v/>
      </c>
      <c r="C21">
        <f>VLOOKUP($A21,[1]Sheet8!$B:$H,MATCH([1]recipes!C$1,[1]Sheet8!$B$1:$H$1,0),0)</f>
        <v>2</v>
      </c>
      <c r="D21">
        <f>VLOOKUP($A21,[1]Sheet8!$B:$H,MATCH([1]recipes!D$1,[1]Sheet8!$B$1:$H$1,0),0)</f>
        <v>0</v>
      </c>
      <c r="E21">
        <f>VLOOKUP($A21,[1]Sheet8!$B:$H,MATCH([1]recipes!E$1,[1]Sheet8!$B$1:$H$1,0),0)</f>
        <v>0</v>
      </c>
      <c r="F21" t="str">
        <f>VLOOKUP($A21,[1]Sheet8!$B:$H,MATCH([1]recipes!F$1,[1]Sheet8!$B$1:$H$1,0),0)</f>
        <v/>
      </c>
      <c r="G21" t="str">
        <f>VLOOKUP($A21,[1]Sheet8!$B:$H,MATCH([1]recipes!G$1,[1]Sheet8!$B$1:$H$1,0),0)</f>
        <v/>
      </c>
    </row>
    <row r="22" spans="1:7" x14ac:dyDescent="0.25">
      <c r="A22" t="s">
        <v>21</v>
      </c>
      <c r="B22" t="str">
        <f>VLOOKUP($A22,[1]Sheet8!$B:$H,MATCH([1]recipes!B$1,[1]Sheet8!$B$1:$H$1,0),0)</f>
        <v>Soak cashews for 3 hours.
Steam pumpkin and cauliflower.
Cook pasta.
Blend sauce ingredients.
Combine sauce and pasta.</v>
      </c>
      <c r="C22">
        <f>VLOOKUP($A22,[1]Sheet8!$B:$H,MATCH([1]recipes!C$1,[1]Sheet8!$B$1:$H$1,0),0)</f>
        <v>2</v>
      </c>
      <c r="D22">
        <f>VLOOKUP($A22,[1]Sheet8!$B:$H,MATCH([1]recipes!D$1,[1]Sheet8!$B$1:$H$1,0),0)</f>
        <v>0</v>
      </c>
      <c r="E22">
        <f>VLOOKUP($A22,[1]Sheet8!$B:$H,MATCH([1]recipes!E$1,[1]Sheet8!$B$1:$H$1,0),0)</f>
        <v>0</v>
      </c>
      <c r="F22" t="str">
        <f>VLOOKUP($A22,[1]Sheet8!$B:$H,MATCH([1]recipes!F$1,[1]Sheet8!$B$1:$H$1,0),0)</f>
        <v/>
      </c>
      <c r="G22" t="str">
        <f>VLOOKUP($A22,[1]Sheet8!$B:$H,MATCH([1]recipes!G$1,[1]Sheet8!$B$1:$H$1,0),0)</f>
        <v/>
      </c>
    </row>
    <row r="23" spans="1:7" x14ac:dyDescent="0.25">
      <c r="A23" t="s">
        <v>22</v>
      </c>
      <c r="B23" t="str">
        <f>VLOOKUP($A23,[1]Sheet8!$B:$H,MATCH([1]recipes!B$1,[1]Sheet8!$B$1:$H$1,0),0)</f>
        <v>1. Preheat the oven to 180°C. Line a loaf tin with tin foil and grease the foil-lined tin.
2. Beat the butter and sugar together until pale and creamy.
3. Add the mashed bananas and beat until well combined.
4. Add the eggs, one at a time, beating in between until fully incorporated in the mixture.
5. Dissolve the bicarbonate of soda in the warm water and add to the batter.
6. Add the almond milk, baking powder, brown rice flour and salt and mix well.
7. Pour the batter into the lined loaf tin and bake for 1 hour.
8. Serve fresh out of the oven, as is or with lots of butter. Freeze and then toast and top with a blob of marscapone and some toasted pecan nuts or cocoa nibs.</v>
      </c>
      <c r="C23">
        <f>VLOOKUP($A23,[1]Sheet8!$B:$H,MATCH([1]recipes!C$1,[1]Sheet8!$B$1:$H$1,0),0)</f>
        <v>1</v>
      </c>
      <c r="D23">
        <f>VLOOKUP($A23,[1]Sheet8!$B:$H,MATCH([1]recipes!D$1,[1]Sheet8!$B$1:$H$1,0),0)</f>
        <v>0</v>
      </c>
      <c r="E23">
        <f>VLOOKUP($A23,[1]Sheet8!$B:$H,MATCH([1]recipes!E$1,[1]Sheet8!$B$1:$H$1,0),0)</f>
        <v>0</v>
      </c>
      <c r="F23" t="str">
        <f>VLOOKUP($A23,[1]Sheet8!$B:$H,MATCH([1]recipes!F$1,[1]Sheet8!$B$1:$H$1,0),0)</f>
        <v/>
      </c>
      <c r="G23" t="str">
        <f>VLOOKUP($A23,[1]Sheet8!$B:$H,MATCH([1]recipes!G$1,[1]Sheet8!$B$1:$H$1,0),0)</f>
        <v>http://Delish Sisters</v>
      </c>
    </row>
    <row r="24" spans="1:7" x14ac:dyDescent="0.25">
      <c r="A24" t="s">
        <v>23</v>
      </c>
      <c r="B24" t="str">
        <f>VLOOKUP($A24,[1]Sheet8!$B:$H,MATCH([1]recipes!B$1,[1]Sheet8!$B$1:$H$1,0),0)</f>
        <v>1. Cook the linguine in a saucepan of salted boiling water for about 10 minutes until al dente, adding the peas after 8 minutes.
2. Meanwhile, heat the oil in a large saucepan or frying pan over a medium heat and fry the garlic with the chilli flakes for 30 seconds, without colouring.
3. Add the prawns and toss in the garlic. Stir in the mascarpone, rocket, lemon zest and juice and heat for a minute or so, or until the rocket wilts.
4. Drain the pasta and peas, add to the sauce and mix together. Season with salt and pepper. Make sure that the prawns, rocket and peas are evenly distributed before serving.</v>
      </c>
      <c r="C24">
        <f>VLOOKUP($A24,[1]Sheet8!$B:$H,MATCH([1]recipes!C$1,[1]Sheet8!$B$1:$H$1,0),0)</f>
        <v>4</v>
      </c>
      <c r="D24">
        <f>VLOOKUP($A24,[1]Sheet8!$B:$H,MATCH([1]recipes!D$1,[1]Sheet8!$B$1:$H$1,0),0)</f>
        <v>0</v>
      </c>
      <c r="E24">
        <f>VLOOKUP($A24,[1]Sheet8!$B:$H,MATCH([1]recipes!E$1,[1]Sheet8!$B$1:$H$1,0),0)</f>
        <v>0</v>
      </c>
      <c r="F24">
        <f>VLOOKUP($A24,[1]Sheet8!$B:$H,MATCH([1]recipes!F$1,[1]Sheet8!$B$1:$H$1,0),0)</f>
        <v>20</v>
      </c>
      <c r="G24" t="str">
        <f>VLOOKUP($A24,[1]Sheet8!$B:$H,MATCH([1]recipes!G$1,[1]Sheet8!$B$1:$H$1,0),0)</f>
        <v>https://www.bbc.co.uk/food/recipes/prawn_linguine_02687</v>
      </c>
    </row>
    <row r="25" spans="1:7" x14ac:dyDescent="0.25">
      <c r="A25" t="s">
        <v>24</v>
      </c>
      <c r="B25" t="str">
        <f>VLOOKUP($A25,[1]Sheet8!$B:$H,MATCH([1]recipes!B$1,[1]Sheet8!$B$1:$H$1,0),0)</f>
        <v>Preheat the oven to 200C.
In a shallow casserole dish, heat some olive oil and gently saute your sliced garlic until it's starting to brown.
Add the smoked paprika and oregano and stir for a moment until fragrant, then add the tomatoes, sugar and red wine vinegar.
Stir the sauce and simmer for 5 minutes.
Drain and rinse the chickpeas, then add to the sauce.
Remove from the heat and arrange the halloumi on top of the sauce.
Bake, uncovered, for 20 minutes until bubbling.
If you want to get the
halloumi browned on top, turn on the grill / broiler for the last 5 minutes.</v>
      </c>
      <c r="C25">
        <f>VLOOKUP($A25,[1]Sheet8!$B:$H,MATCH([1]recipes!C$1,[1]Sheet8!$B$1:$H$1,0),0)</f>
        <v>4</v>
      </c>
      <c r="D25">
        <f>VLOOKUP($A25,[1]Sheet8!$B:$H,MATCH([1]recipes!D$1,[1]Sheet8!$B$1:$H$1,0),0)</f>
        <v>0</v>
      </c>
      <c r="E25">
        <f>VLOOKUP($A25,[1]Sheet8!$B:$H,MATCH([1]recipes!E$1,[1]Sheet8!$B$1:$H$1,0),0)</f>
        <v>0</v>
      </c>
      <c r="F25">
        <f>VLOOKUP($A25,[1]Sheet8!$B:$H,MATCH([1]recipes!F$1,[1]Sheet8!$B$1:$H$1,0),0)</f>
        <v>35</v>
      </c>
      <c r="G25" t="str">
        <f>VLOOKUP($A25,[1]Sheet8!$B:$H,MATCH([1]recipes!G$1,[1]Sheet8!$B$1:$H$1,0),0)</f>
        <v>https://www.happyveggiekitchen.com/halloumi-bake/#recipe</v>
      </c>
    </row>
    <row r="26" spans="1:7" x14ac:dyDescent="0.25">
      <c r="A26" t="s">
        <v>25</v>
      </c>
      <c r="B26" t="str">
        <f>VLOOKUP($A26,[1]Sheet8!$B:$H,MATCH([1]recipes!B$1,[1]Sheet8!$B$1:$H$1,0),0)</f>
        <v/>
      </c>
      <c r="C26" t="str">
        <f>VLOOKUP($A26,[1]Sheet8!$B:$H,MATCH([1]recipes!C$1,[1]Sheet8!$B$1:$H$1,0),0)</f>
        <v/>
      </c>
      <c r="D26">
        <f>VLOOKUP($A26,[1]Sheet8!$B:$H,MATCH([1]recipes!D$1,[1]Sheet8!$B$1:$H$1,0),0)</f>
        <v>0</v>
      </c>
      <c r="E26">
        <f>VLOOKUP($A26,[1]Sheet8!$B:$H,MATCH([1]recipes!E$1,[1]Sheet8!$B$1:$H$1,0),0)</f>
        <v>0</v>
      </c>
      <c r="F26" t="str">
        <f>VLOOKUP($A26,[1]Sheet8!$B:$H,MATCH([1]recipes!F$1,[1]Sheet8!$B$1:$H$1,0),0)</f>
        <v/>
      </c>
      <c r="G26" t="str">
        <f>VLOOKUP($A26,[1]Sheet8!$B:$H,MATCH([1]recipes!G$1,[1]Sheet8!$B$1:$H$1,0),0)</f>
        <v>https://fashionablehostess.com/winter-white-cheese-board/</v>
      </c>
    </row>
    <row r="27" spans="1:7" x14ac:dyDescent="0.25">
      <c r="A27" t="s">
        <v>26</v>
      </c>
      <c r="B27" t="str">
        <f>VLOOKUP($A27,[1]Sheet8!$B:$H,MATCH([1]recipes!B$1,[1]Sheet8!$B$1:$H$1,0),0)</f>
        <v>1. Defrost the prawns by thawing and then get rid of excess water - Marinate the prawns with the birds eye chilli, garlic, zest and juice of 1 lemon and salt. Refrigerate for 30 minutes
2. Boil pasta in salted water as per instructions on the packet. Cook until al la dente, drain the water. Reserve some of the pasta water to add to the final dish.
3. Heat one tablespoon butter, with a few drops of oil, in a pan and flash fry half the prawns in 2, 30 seconds on each side. Add another tablespoon of butter and fry remaining prawns. Transfer to a bowl and set aside
4. Fry the chopped onion and a little more garlic on low until onions are soft and translucent, add the tomato mix, cook for 2 mins, then add creme fraiche and simmer a little, about another minute, then turn off the heat and add the grated Parmesan- Leave some to top
5. Add prawns to the sauce and let it heat through. Add some of the pasta water. Drizzle more lemon juice into the pasta
6. Divide pasta into pasta bowls and add the prawn sauce on top. Garnish with parsley and add some parmesan if you like.</v>
      </c>
      <c r="C27">
        <f>VLOOKUP($A27,[1]Sheet8!$B:$H,MATCH([1]recipes!C$1,[1]Sheet8!$B$1:$H$1,0),0)</f>
        <v>2</v>
      </c>
      <c r="D27">
        <f>VLOOKUP($A27,[1]Sheet8!$B:$H,MATCH([1]recipes!D$1,[1]Sheet8!$B$1:$H$1,0),0)</f>
        <v>0</v>
      </c>
      <c r="E27">
        <f>VLOOKUP($A27,[1]Sheet8!$B:$H,MATCH([1]recipes!E$1,[1]Sheet8!$B$1:$H$1,0),0)</f>
        <v>0</v>
      </c>
      <c r="F27" t="str">
        <f>VLOOKUP($A27,[1]Sheet8!$B:$H,MATCH([1]recipes!F$1,[1]Sheet8!$B$1:$H$1,0),0)</f>
        <v/>
      </c>
      <c r="G27" t="str">
        <f>VLOOKUP($A27,[1]Sheet8!$B:$H,MATCH([1]recipes!G$1,[1]Sheet8!$B$1:$H$1,0),0)</f>
        <v>https://www.instagram.com/p/C5QYDb8MHzB/</v>
      </c>
    </row>
    <row r="28" spans="1:7" x14ac:dyDescent="0.25">
      <c r="A28" t="s">
        <v>27</v>
      </c>
      <c r="B28" t="str">
        <f>VLOOKUP($A28,[1]Sheet8!$B:$H,MATCH([1]recipes!B$1,[1]Sheet8!$B$1:$H$1,0),0)</f>
        <v>1. Cook the sweet potato and set aside . 
2. Add the chili powder to the rinsed black beans and then heat them up on the stove top for a few minutes until hot. 
3. Cut the sweet potato in half and open it up slightly to fit your other ingredients. 
4. Mash up and prepare the guacamole ingredients (avocado, lime juice, garlic, and salt). 
5. Top the sweet potato with the black beans, sour cream, salsa and guacamole.</v>
      </c>
      <c r="C28">
        <f>VLOOKUP($A28,[1]Sheet8!$B:$H,MATCH([1]recipes!C$1,[1]Sheet8!$B$1:$H$1,0),0)</f>
        <v>2</v>
      </c>
      <c r="D28">
        <f>VLOOKUP($A28,[1]Sheet8!$B:$H,MATCH([1]recipes!D$1,[1]Sheet8!$B$1:$H$1,0),0)</f>
        <v>0</v>
      </c>
      <c r="E28">
        <f>VLOOKUP($A28,[1]Sheet8!$B:$H,MATCH([1]recipes!E$1,[1]Sheet8!$B$1:$H$1,0),0)</f>
        <v>0</v>
      </c>
      <c r="F28" t="str">
        <f>VLOOKUP($A28,[1]Sheet8!$B:$H,MATCH([1]recipes!F$1,[1]Sheet8!$B$1:$H$1,0),0)</f>
        <v/>
      </c>
      <c r="G28" t="str">
        <f>VLOOKUP($A28,[1]Sheet8!$B:$H,MATCH([1]recipes!G$1,[1]Sheet8!$B$1:$H$1,0),0)</f>
        <v>https://healthygirlkitchen.com/recipes/mexican-stuffed-sweet-potatoes-vegan-oil-free/</v>
      </c>
    </row>
    <row r="29" spans="1:7" x14ac:dyDescent="0.25">
      <c r="A29" t="s">
        <v>28</v>
      </c>
      <c r="B29" t="str">
        <f>VLOOKUP($A29,[1]Sheet8!$B:$H,MATCH([1]recipes!B$1,[1]Sheet8!$B$1:$H$1,0),0)</f>
        <v>1. Cook pasta. While pasta is boiling, get a large non-stick pan and start sauteing the zucchini.
2. Saute zucchini in a little water or avocado/olive oil, your choice. Saute until tender but not too mushy.
3. Add artichokes to pan, just dump the whole jar in there!
4. Strain pasta and add into the pan with zucchini and artichokes.
5. Add spinach, tomatoes, oregano, olives, garlic, red wine vinegar, salt + pepper
6. Keep the pan on low heat and stir until everything is combined and the spinach is wilted.
7. Serve and enjoy!</v>
      </c>
      <c r="C29">
        <f>VLOOKUP($A29,[1]Sheet8!$B:$H,MATCH([1]recipes!C$1,[1]Sheet8!$B$1:$H$1,0),0)</f>
        <v>4</v>
      </c>
      <c r="D29">
        <f>VLOOKUP($A29,[1]Sheet8!$B:$H,MATCH([1]recipes!D$1,[1]Sheet8!$B$1:$H$1,0),0)</f>
        <v>0</v>
      </c>
      <c r="E29">
        <f>VLOOKUP($A29,[1]Sheet8!$B:$H,MATCH([1]recipes!E$1,[1]Sheet8!$B$1:$H$1,0),0)</f>
        <v>0</v>
      </c>
      <c r="F29" t="str">
        <f>VLOOKUP($A29,[1]Sheet8!$B:$H,MATCH([1]recipes!F$1,[1]Sheet8!$B$1:$H$1,0),0)</f>
        <v/>
      </c>
      <c r="G29" t="str">
        <f>VLOOKUP($A29,[1]Sheet8!$B:$H,MATCH([1]recipes!G$1,[1]Sheet8!$B$1:$H$1,0),0)</f>
        <v>https://healthygirlkitchen.com/recipes/vegan-mediterranean-pasta/</v>
      </c>
    </row>
    <row r="30" spans="1:7" x14ac:dyDescent="0.25">
      <c r="A30" t="s">
        <v>29</v>
      </c>
      <c r="B30" t="str">
        <f>VLOOKUP($A30,[1]Sheet8!$B:$H,MATCH([1]recipes!B$1,[1]Sheet8!$B$1:$H$1,0),0)</f>
        <v>1. Make couscous (2c)
2. Steam peas (1c).
3. Dice and saute zucchini in olive oil, salt and pepper.
4. Chop basil (0.5c) and mint (0.5c)
5. Combine all ingredients.
6. Top with salt, pepper and lemon juice.</v>
      </c>
      <c r="C30">
        <f>VLOOKUP($A30,[1]Sheet8!$B:$H,MATCH([1]recipes!C$1,[1]Sheet8!$B$1:$H$1,0),0)</f>
        <v>4</v>
      </c>
      <c r="D30">
        <f>VLOOKUP($A30,[1]Sheet8!$B:$H,MATCH([1]recipes!D$1,[1]Sheet8!$B$1:$H$1,0),0)</f>
        <v>0</v>
      </c>
      <c r="E30">
        <f>VLOOKUP($A30,[1]Sheet8!$B:$H,MATCH([1]recipes!E$1,[1]Sheet8!$B$1:$H$1,0),0)</f>
        <v>0</v>
      </c>
      <c r="F30">
        <f>VLOOKUP($A30,[1]Sheet8!$B:$H,MATCH([1]recipes!F$1,[1]Sheet8!$B$1:$H$1,0),0)</f>
        <v>10</v>
      </c>
      <c r="G30" t="str">
        <f>VLOOKUP($A30,[1]Sheet8!$B:$H,MATCH([1]recipes!G$1,[1]Sheet8!$B$1:$H$1,0),0)</f>
        <v>https://www.instagram.com/p/CgiO2F7Jfe5/</v>
      </c>
    </row>
    <row r="31" spans="1:7" x14ac:dyDescent="0.25">
      <c r="A31" t="s">
        <v>30</v>
      </c>
      <c r="B31" t="str">
        <f>VLOOKUP($A31,[1]Sheet8!$B:$H,MATCH([1]recipes!B$1,[1]Sheet8!$B$1:$H$1,0),0)</f>
        <v>1. Preheat the oven to 200° C.
2. In a 23×33 cm baking dish, combine the olive oil, garlic, onion, basil, paprika, chili flakes, salt, and pepper. Add the dry orzo, artichokes, and pesto. Pour over 2 1/4 cups of water and stir to combine. Place the spinach on top. Bake for 12-15 minutes, until most of the water has cooked into the pasta, but not all of it.
3. Stir the pasta around, then sprinkle the cheeses overtop. Bake another 10 minutes, until the cheese has melted and the sauce is bubbling. If there's a lot of oil from the pesto on top, drain off the excess. Top with fresh basil!</v>
      </c>
      <c r="C31">
        <f>VLOOKUP($A31,[1]Sheet8!$B:$H,MATCH([1]recipes!C$1,[1]Sheet8!$B$1:$H$1,0),0)</f>
        <v>6</v>
      </c>
      <c r="D31">
        <f>VLOOKUP($A31,[1]Sheet8!$B:$H,MATCH([1]recipes!D$1,[1]Sheet8!$B$1:$H$1,0),0)</f>
        <v>0</v>
      </c>
      <c r="E31">
        <f>VLOOKUP($A31,[1]Sheet8!$B:$H,MATCH([1]recipes!E$1,[1]Sheet8!$B$1:$H$1,0),0)</f>
        <v>0</v>
      </c>
      <c r="F31">
        <f>VLOOKUP($A31,[1]Sheet8!$B:$H,MATCH([1]recipes!F$1,[1]Sheet8!$B$1:$H$1,0),0)</f>
        <v>35</v>
      </c>
      <c r="G31" t="str">
        <f>VLOOKUP($A31,[1]Sheet8!$B:$H,MATCH([1]recipes!G$1,[1]Sheet8!$B$1:$H$1,0),0)</f>
        <v>https://www.halfbakedharvest.com/spinach-and-artichoke-orzo-bake/</v>
      </c>
    </row>
    <row r="32" spans="1:7" x14ac:dyDescent="0.25">
      <c r="A32" t="s">
        <v>31</v>
      </c>
      <c r="B32" t="str">
        <f>VLOOKUP($A32,[1]Sheet8!$B:$H,MATCH([1]recipes!B$1,[1]Sheet8!$B$1:$H$1,0),0)</f>
        <v>1. Toast and crush fennel seeds.
2. In a medium bowl, mix the feta (broken into 1-2cm pieces) with a quarter-teaspoon of the chilli flakes, 1 teaspoon of the fennel seeds and a tablespoon of oil. Set aside while you cook the orzo.
3. Put a large saute pan for which you have a lid on a medium-high heat. Add two tablespoons of oil, the orzo, an eighth of a teaspoon of salt and a good grind of pepper. Fry for three to four minutes, stirring frequently, until golden brown, then remove from the pan and set aside.
4. Return the pan to the same heat and add the remaining two tablespoons of oil, a quarter-teaspoon of chilli flakes, two teaspoons of fennel seeds, the garlic and the orange peel. Fry for a minute, until the garlic starts to brown lightly, then add the tomatoes, stock, 200ml water, three-quarters of a teaspoon of salt and plenty of pepper. Cook for two to three minutes, or until boiling, then stir in the fried orzo. 
5. Cover, then lower the heat to medium low and leave to simmer for 15 minutes, stirring once or twice, until the orzo is cooked.
6. Remove the lid and cook for one to two minutes more, until the consistency is like a risotto. Stir in the prawns for two to three minutes, until they turn pink and are cooked.
7. Stir in the basil and serve at once with the marinated feta sprinkled on top.</v>
      </c>
      <c r="C32">
        <f>VLOOKUP($A32,[1]Sheet8!$B:$H,MATCH([1]recipes!C$1,[1]Sheet8!$B$1:$H$1,0),0)</f>
        <v>4</v>
      </c>
      <c r="D32">
        <f>VLOOKUP($A32,[1]Sheet8!$B:$H,MATCH([1]recipes!D$1,[1]Sheet8!$B$1:$H$1,0),0)</f>
        <v>0</v>
      </c>
      <c r="E32">
        <f>VLOOKUP($A32,[1]Sheet8!$B:$H,MATCH([1]recipes!E$1,[1]Sheet8!$B$1:$H$1,0),0)</f>
        <v>0</v>
      </c>
      <c r="F32">
        <f>VLOOKUP($A32,[1]Sheet8!$B:$H,MATCH([1]recipes!F$1,[1]Sheet8!$B$1:$H$1,0),0)</f>
        <v>45</v>
      </c>
      <c r="G32" t="str">
        <f>VLOOKUP($A32,[1]Sheet8!$B:$H,MATCH([1]recipes!G$1,[1]Sheet8!$B$1:$H$1,0),0)</f>
        <v>https://www.theguardian.com/food/2018/sep/01/easy-does-it-seven-simple-yotam-ottolenghi-recipes?page=with%3Aimg-4#img-4</v>
      </c>
    </row>
    <row r="33" spans="1:7" x14ac:dyDescent="0.25">
      <c r="A33" t="s">
        <v>32</v>
      </c>
      <c r="B33" t="str">
        <f>VLOOKUP($A33,[1]Sheet8!$B:$H,MATCH([1]recipes!B$1,[1]Sheet8!$B$1:$H$1,0),0)</f>
        <v>Fry capers, anchovy fillets, chopped garlic, halved olives and chopped chilli in 2 T olive oil in a large ovenproof pan over a medium to low heat.
When fragrant, add the cherry tomatoes and bring to a simmer. Add tomato paste and a little water if necessary to loosen.
Meanwhile preheat the grill, grease a baking tray and arrange the frozen hake fillets on the tray. Season and grill for 5–7 minutes. Place thefish in the sauce and grate over Parmesan, then grill until golden and bubbling, 3–5 minutes.
Serve hot topped with chopped exotic tomatoes, pickled red onion, basil leaves and orzo, cheesy polenta or Woolworths frozen mash.
Cook's note: The worst thing about entertaining? Washing up, hands down. Do yourself a favour and serve this winning supper in the centre of the table, straight out the pan</v>
      </c>
      <c r="C33">
        <f>VLOOKUP($A33,[1]Sheet8!$B:$H,MATCH([1]recipes!C$1,[1]Sheet8!$B$1:$H$1,0),0)</f>
        <v>4</v>
      </c>
      <c r="D33">
        <f>VLOOKUP($A33,[1]Sheet8!$B:$H,MATCH([1]recipes!D$1,[1]Sheet8!$B$1:$H$1,0),0)</f>
        <v>0</v>
      </c>
      <c r="E33">
        <f>VLOOKUP($A33,[1]Sheet8!$B:$H,MATCH([1]recipes!E$1,[1]Sheet8!$B$1:$H$1,0),0)</f>
        <v>0</v>
      </c>
      <c r="F33">
        <f>VLOOKUP($A33,[1]Sheet8!$B:$H,MATCH([1]recipes!F$1,[1]Sheet8!$B$1:$H$1,0),0)</f>
        <v>25</v>
      </c>
      <c r="G33" t="str">
        <f>VLOOKUP($A33,[1]Sheet8!$B:$H,MATCH([1]recipes!G$1,[1]Sheet8!$B$1:$H$1,0),0)</f>
        <v>https://taste.co.za/recipes/puttanesca-baked-fish/</v>
      </c>
    </row>
    <row r="34" spans="1:7" x14ac:dyDescent="0.25">
      <c r="A34" t="s">
        <v>33</v>
      </c>
      <c r="B34" t="str">
        <f>VLOOKUP($A34,[1]Sheet8!$B:$H,MATCH([1]recipes!B$1,[1]Sheet8!$B$1:$H$1,0),0)</f>
        <v>Preheat oven 200C.
Line heavy duty foil with greaseproof paper.
Combine dressing ingredients.
Place broccoli + fish + pour over dressing.
Close pocket + place in oven for 12 minutes (over coals for 8 minutes).
Cool couscous.
Serve.</v>
      </c>
      <c r="C34">
        <f>VLOOKUP($A34,[1]Sheet8!$B:$H,MATCH([1]recipes!C$1,[1]Sheet8!$B$1:$H$1,0),0)</f>
        <v>2</v>
      </c>
      <c r="D34">
        <f>VLOOKUP($A34,[1]Sheet8!$B:$H,MATCH([1]recipes!D$1,[1]Sheet8!$B$1:$H$1,0),0)</f>
        <v>0</v>
      </c>
      <c r="E34">
        <f>VLOOKUP($A34,[1]Sheet8!$B:$H,MATCH([1]recipes!E$1,[1]Sheet8!$B$1:$H$1,0),0)</f>
        <v>0</v>
      </c>
      <c r="F34">
        <f>VLOOKUP($A34,[1]Sheet8!$B:$H,MATCH([1]recipes!F$1,[1]Sheet8!$B$1:$H$1,0),0)</f>
        <v>20</v>
      </c>
      <c r="G34" t="str">
        <f>VLOOKUP($A34,[1]Sheet8!$B:$H,MATCH([1]recipes!G$1,[1]Sheet8!$B$1:$H$1,0),0)</f>
        <v/>
      </c>
    </row>
    <row r="35" spans="1:7" x14ac:dyDescent="0.25">
      <c r="A35" t="s">
        <v>34</v>
      </c>
      <c r="B35" t="str">
        <f>VLOOKUP($A35,[1]Sheet8!$B:$H,MATCH([1]recipes!B$1,[1]Sheet8!$B$1:$H$1,0),0)</f>
        <v>Step 1
Place one third of the cashews into a food
processor and pulse for a few seconds until
they're broken up. Toast them in a frying pan
placed over a medium heat until they go golden
brown. Once golden, leave to one side to sprinkle
on top of the pasta.
Step 2
Place the rest of the ingredients (except the pasta
or courgetti) into a blender and blend until a
smooth, creamy pesto forms. You may need to
add a dash more water until you reach the
consistency you like best.
Step 3
Once ready to serve, cook the pasta according to
instructions on the pack (or prep the courgetti).
Once cooked, drain and place back into the pan.
Step 4
Toss the pesto with the cooked pasta (or
courgetti) and sprinkle with the toasted cashews.</v>
      </c>
      <c r="C35">
        <f>VLOOKUP($A35,[1]Sheet8!$B:$H,MATCH([1]recipes!C$1,[1]Sheet8!$B$1:$H$1,0),0)</f>
        <v>2</v>
      </c>
      <c r="D35">
        <f>VLOOKUP($A35,[1]Sheet8!$B:$H,MATCH([1]recipes!D$1,[1]Sheet8!$B$1:$H$1,0),0)</f>
        <v>0</v>
      </c>
      <c r="E35">
        <f>VLOOKUP($A35,[1]Sheet8!$B:$H,MATCH([1]recipes!E$1,[1]Sheet8!$B$1:$H$1,0),0)</f>
        <v>0</v>
      </c>
      <c r="F35">
        <f>VLOOKUP($A35,[1]Sheet8!$B:$H,MATCH([1]recipes!F$1,[1]Sheet8!$B$1:$H$1,0),0)</f>
        <v>15</v>
      </c>
      <c r="G35" t="str">
        <f>VLOOKUP($A35,[1]Sheet8!$B:$H,MATCH([1]recipes!G$1,[1]Sheet8!$B$1:$H$1,0),0)</f>
        <v/>
      </c>
    </row>
    <row r="36" spans="1:7" x14ac:dyDescent="0.25">
      <c r="A36" t="s">
        <v>35</v>
      </c>
      <c r="B36" t="str">
        <f>VLOOKUP($A36,[1]Sheet8!$B:$H,MATCH([1]recipes!B$1,[1]Sheet8!$B$1:$H$1,0),0)</f>
        <v>1. Preheat the oven to 425° F. Line a baking sheet with parchment paper.
2. in a bowl, toss together the olive oil, tomatoes, thyme, oregano, garlic, chili flakes, salt, and pepper.
3. Cut each sheet of puff pastry into 4 squares. Spread each square with a tablespoons of pesto, leaving a 1/2 inch border. Sprinkle the cheese over the pesto. Arrange the tomatoes over the cheese.
4. Fold the edges of the pastry inward to enclose. Bake 15-20 minutes, until the pastry is golden and the cheese has melted. Break the burrata over the warm tomatoes, then spoon over the pesto. Top with fresh basil. Enjoy!</v>
      </c>
      <c r="C36">
        <f>VLOOKUP($A36,[1]Sheet8!$B:$H,MATCH([1]recipes!C$1,[1]Sheet8!$B$1:$H$1,0),0)</f>
        <v>8</v>
      </c>
      <c r="D36">
        <f>VLOOKUP($A36,[1]Sheet8!$B:$H,MATCH([1]recipes!D$1,[1]Sheet8!$B$1:$H$1,0),0)</f>
        <v>0</v>
      </c>
      <c r="E36">
        <f>VLOOKUP($A36,[1]Sheet8!$B:$H,MATCH([1]recipes!E$1,[1]Sheet8!$B$1:$H$1,0),0)</f>
        <v>0</v>
      </c>
      <c r="F36">
        <f>VLOOKUP($A36,[1]Sheet8!$B:$H,MATCH([1]recipes!F$1,[1]Sheet8!$B$1:$H$1,0),0)</f>
        <v>30</v>
      </c>
      <c r="G36" t="str">
        <f>VLOOKUP($A36,[1]Sheet8!$B:$H,MATCH([1]recipes!G$1,[1]Sheet8!$B$1:$H$1,0),0)</f>
        <v>https://www.halfbakedharvest.com/caprese-pesto-tarts/</v>
      </c>
    </row>
    <row r="37" spans="1:7" x14ac:dyDescent="0.25">
      <c r="A37" t="s">
        <v>36</v>
      </c>
      <c r="B37" t="str">
        <f>VLOOKUP($A37,[1]Sheet8!$B:$H,MATCH([1]recipes!B$1,[1]Sheet8!$B$1:$H$1,0),0)</f>
        <v>1. Finely chop onion, garlic and chilli and grate mushrooms and carrots.
2. Saute onion, garlic and chilli until softened.
3. Add grated mushrooms and carrots, and fry for 10 minutes.
4. Add passata, paprika, oregano and coriander.
5. Add vegetable stock and nutritional yeast.
6. Simmer on low heat for 20 mins.
7. Cook pasta.
8. Combine and serve with grated parmesean.</v>
      </c>
      <c r="C37">
        <f>VLOOKUP($A37,[1]Sheet8!$B:$H,MATCH([1]recipes!C$1,[1]Sheet8!$B$1:$H$1,0),0)</f>
        <v>4</v>
      </c>
      <c r="D37">
        <f>VLOOKUP($A37,[1]Sheet8!$B:$H,MATCH([1]recipes!D$1,[1]Sheet8!$B$1:$H$1,0),0)</f>
        <v>0</v>
      </c>
      <c r="E37">
        <f>VLOOKUP($A37,[1]Sheet8!$B:$H,MATCH([1]recipes!E$1,[1]Sheet8!$B$1:$H$1,0),0)</f>
        <v>0</v>
      </c>
      <c r="F37">
        <f>VLOOKUP($A37,[1]Sheet8!$B:$H,MATCH([1]recipes!F$1,[1]Sheet8!$B$1:$H$1,0),0)</f>
        <v>40</v>
      </c>
      <c r="G37" t="str">
        <f>VLOOKUP($A37,[1]Sheet8!$B:$H,MATCH([1]recipes!G$1,[1]Sheet8!$B$1:$H$1,0),0)</f>
        <v/>
      </c>
    </row>
    <row r="38" spans="1:7" x14ac:dyDescent="0.25">
      <c r="A38" t="s">
        <v>37</v>
      </c>
      <c r="B38" t="str">
        <f>VLOOKUP($A38,[1]Sheet8!$B:$H,MATCH([1]recipes!B$1,[1]Sheet8!$B$1:$H$1,0),0)</f>
        <v>STEP 1
Prepare ingredients:
- toast almonds
- finely slice fennel
- slice cucumber, avocado &amp; halloumi
STEP 2
Blend the ingredients for the pesto together in a high speed food processor until smooth (rocket, lemon juice, 1c almonds, 1c olive oil). Adjust for salt, pepper and lemon juice and set aside.
STEP 3
Toss and assemble the vegetables and herbs for the salad on a large serving platter. Reserve the pesto, dressing elements, and a couple of herbs for garnish.
STEP 4
Heat a nonstick pan over a high heat. Once it is sizzling hot, place the halloumi flat side down in the pan. Give it a minute or two before flipping - there should be a lovely caramelized crunchy surface to the halloumi. Adjust the heat as necessary (halloumi cooks well with residual pan heat so you may like to take it off momentarily) and repeat until all the halloumi is cooked.
STEP 5
Arrange the halloumi on the plate and finish with the pesto, olive oil, lemon juice, and herbs for garnish. Serve while the halloumi is warm.</v>
      </c>
      <c r="C38">
        <f>VLOOKUP($A38,[1]Sheet8!$B:$H,MATCH([1]recipes!C$1,[1]Sheet8!$B$1:$H$1,0),0)</f>
        <v>4</v>
      </c>
      <c r="D38">
        <f>VLOOKUP($A38,[1]Sheet8!$B:$H,MATCH([1]recipes!D$1,[1]Sheet8!$B$1:$H$1,0),0)</f>
        <v>0</v>
      </c>
      <c r="E38">
        <f>VLOOKUP($A38,[1]Sheet8!$B:$H,MATCH([1]recipes!E$1,[1]Sheet8!$B$1:$H$1,0),0)</f>
        <v>0</v>
      </c>
      <c r="F38">
        <f>VLOOKUP($A38,[1]Sheet8!$B:$H,MATCH([1]recipes!F$1,[1]Sheet8!$B$1:$H$1,0),0)</f>
        <v>15</v>
      </c>
      <c r="G38" t="str">
        <f>VLOOKUP($A38,[1]Sheet8!$B:$H,MATCH([1]recipes!G$1,[1]Sheet8!$B$1:$H$1,0),0)</f>
        <v>https://thefeedfeed.com/georgeats/green-halloumi-salad</v>
      </c>
    </row>
    <row r="39" spans="1:7" x14ac:dyDescent="0.25">
      <c r="A39" t="s">
        <v>38</v>
      </c>
      <c r="B39" t="str">
        <f>VLOOKUP($A39,[1]Sheet8!$B:$H,MATCH([1]recipes!B$1,[1]Sheet8!$B$1:$H$1,0),0)</f>
        <v/>
      </c>
      <c r="C39">
        <f>VLOOKUP($A39,[1]Sheet8!$B:$H,MATCH([1]recipes!C$1,[1]Sheet8!$B$1:$H$1,0),0)</f>
        <v>4</v>
      </c>
      <c r="D39">
        <f>VLOOKUP($A39,[1]Sheet8!$B:$H,MATCH([1]recipes!D$1,[1]Sheet8!$B$1:$H$1,0),0)</f>
        <v>0</v>
      </c>
      <c r="E39">
        <f>VLOOKUP($A39,[1]Sheet8!$B:$H,MATCH([1]recipes!E$1,[1]Sheet8!$B$1:$H$1,0),0)</f>
        <v>0</v>
      </c>
      <c r="F39" t="str">
        <f>VLOOKUP($A39,[1]Sheet8!$B:$H,MATCH([1]recipes!F$1,[1]Sheet8!$B$1:$H$1,0),0)</f>
        <v/>
      </c>
      <c r="G39" t="str">
        <f>VLOOKUP($A39,[1]Sheet8!$B:$H,MATCH([1]recipes!G$1,[1]Sheet8!$B$1:$H$1,0),0)</f>
        <v/>
      </c>
    </row>
    <row r="40" spans="1:7" x14ac:dyDescent="0.25">
      <c r="A40" t="s">
        <v>39</v>
      </c>
      <c r="B40" t="str">
        <f>VLOOKUP($A40,[1]Sheet8!$B:$H,MATCH([1]recipes!B$1,[1]Sheet8!$B$1:$H$1,0),0)</f>
        <v>1. Make the chimichurri by combining everything (cilantro, parsley, paprika, red onion, garlic, red wine vinegar, olive oil, salt, pepper) in a blender. It should be the consistency of a thick pourable sauce, so you may need to add a little more oil or a touch of hot water to thin it out.
2. First, the hake: cut it into strips, then toss in a bowl with 1/4 cup chimichurri until fish is coated. Refrigerate for at least an hour and up to 3 hours.
3. Toss the cabbage with a teaspoon or so of chimichurri, a drizzle of olive oil, and a pinch of salt. Set aside.
4. In a small bowl, mix together 2 tablespoons chimichurri with the mayo. This is your "crema" sauce.
5. Heat a large nonstick pan (or a grill) over medium-high. Sprinkle the hake with salt, then cook for a couple minutes per side, until slightly caramelized on the outside and cooked through on the inside. Set aside.
6. Warm the tortillas (I like to do it over a gas stovetop flame so it gets charred), then fill with cabbage, smashed avocado, and hake.
7. Drizzle with the chimichurri crema, then garnish with onions, cilantro, and a squeeze of lime.</v>
      </c>
      <c r="C40">
        <f>VLOOKUP($A40,[1]Sheet8!$B:$H,MATCH([1]recipes!C$1,[1]Sheet8!$B$1:$H$1,0),0)</f>
        <v>4</v>
      </c>
      <c r="D40">
        <f>VLOOKUP($A40,[1]Sheet8!$B:$H,MATCH([1]recipes!D$1,[1]Sheet8!$B$1:$H$1,0),0)</f>
        <v>0</v>
      </c>
      <c r="E40">
        <f>VLOOKUP($A40,[1]Sheet8!$B:$H,MATCH([1]recipes!E$1,[1]Sheet8!$B$1:$H$1,0),0)</f>
        <v>0</v>
      </c>
      <c r="F40">
        <f>VLOOKUP($A40,[1]Sheet8!$B:$H,MATCH([1]recipes!F$1,[1]Sheet8!$B$1:$H$1,0),0)</f>
        <v>30</v>
      </c>
      <c r="G40" t="str">
        <f>VLOOKUP($A40,[1]Sheet8!$B:$H,MATCH([1]recipes!G$1,[1]Sheet8!$B$1:$H$1,0),0)</f>
        <v>https://camillestyles.com/food/the-chimichurri-fish-tacos-i-crave-all-summer/</v>
      </c>
    </row>
    <row r="41" spans="1:7" x14ac:dyDescent="0.25">
      <c r="A41" t="s">
        <v>40</v>
      </c>
      <c r="B41" t="str">
        <f>VLOOKUP($A41,[1]Sheet8!$B:$H,MATCH([1]recipes!B$1,[1]Sheet8!$B$1:$H$1,0),0)</f>
        <v>1. Toast sesame seeds.
2. To make the slaw, combine CABBAGE, cooked QUINOA, CARROTS, CILANTRO, and GREEN ONIONS in a large mixing bowl. Cover and refrigerate until ready to dress and serve.
3. To make the dressing, combine RICE VINEGAR, MAPLE SYRUP, SOY SAUCE, GINGER, and GARLIC in a mixing bowl. Slowly drizzle in OLIVE OIL and SESAME OIL, and whisk or blend until well-combined. Add SALT and PEPPER to taste.
Cover and refrigerate until ready to dress and serve.
4. To serve, add toasted nuts and seeds to the salad. Add the dressing and toss to combine.
5. Store dressed slaw in an airtight container up to 24 hours. Non-dressed slaw can be stored up to 5 days.</v>
      </c>
      <c r="C41">
        <f>VLOOKUP($A41,[1]Sheet8!$B:$H,MATCH([1]recipes!C$1,[1]Sheet8!$B$1:$H$1,0),0)</f>
        <v>4</v>
      </c>
      <c r="D41">
        <f>VLOOKUP($A41,[1]Sheet8!$B:$H,MATCH([1]recipes!D$1,[1]Sheet8!$B$1:$H$1,0),0)</f>
        <v>0</v>
      </c>
      <c r="E41">
        <f>VLOOKUP($A41,[1]Sheet8!$B:$H,MATCH([1]recipes!E$1,[1]Sheet8!$B$1:$H$1,0),0)</f>
        <v>0</v>
      </c>
      <c r="F41">
        <f>VLOOKUP($A41,[1]Sheet8!$B:$H,MATCH([1]recipes!F$1,[1]Sheet8!$B$1:$H$1,0),0)</f>
        <v>20</v>
      </c>
      <c r="G41" t="str">
        <f>VLOOKUP($A41,[1]Sheet8!$B:$H,MATCH([1]recipes!G$1,[1]Sheet8!$B$1:$H$1,0),0)</f>
        <v>https://thekitchengirl.com/asian-quinoa-slaw-salad-sesame-ginger-vinaigrette/</v>
      </c>
    </row>
    <row r="42" spans="1:7" x14ac:dyDescent="0.25">
      <c r="A42" t="s">
        <v>41</v>
      </c>
      <c r="B42" t="str">
        <f>VLOOKUP($A42,[1]Sheet8!$B:$H,MATCH([1]recipes!B$1,[1]Sheet8!$B$1:$H$1,0),0)</f>
        <v/>
      </c>
      <c r="C42">
        <f>VLOOKUP($A42,[1]Sheet8!$B:$H,MATCH([1]recipes!C$1,[1]Sheet8!$B$1:$H$1,0),0)</f>
        <v>2</v>
      </c>
      <c r="D42">
        <f>VLOOKUP($A42,[1]Sheet8!$B:$H,MATCH([1]recipes!D$1,[1]Sheet8!$B$1:$H$1,0),0)</f>
        <v>0</v>
      </c>
      <c r="E42">
        <f>VLOOKUP($A42,[1]Sheet8!$B:$H,MATCH([1]recipes!E$1,[1]Sheet8!$B$1:$H$1,0),0)</f>
        <v>0</v>
      </c>
      <c r="F42" t="str">
        <f>VLOOKUP($A42,[1]Sheet8!$B:$H,MATCH([1]recipes!F$1,[1]Sheet8!$B$1:$H$1,0),0)</f>
        <v/>
      </c>
      <c r="G42" t="str">
        <f>VLOOKUP($A42,[1]Sheet8!$B:$H,MATCH([1]recipes!G$1,[1]Sheet8!$B$1:$H$1,0),0)</f>
        <v>https://natashaskitchen.com/fish-tacos-recipe/</v>
      </c>
    </row>
    <row r="43" spans="1:7" x14ac:dyDescent="0.25">
      <c r="A43" t="s">
        <v>42</v>
      </c>
      <c r="B43" t="str">
        <f>VLOOKUP($A43,[1]Sheet8!$B:$H,MATCH([1]recipes!B$1,[1]Sheet8!$B$1:$H$1,0),0)</f>
        <v>1. Set a large soup pot over medium heat and pour in the olive oil. Swirl the oil around a bit and then add the onions to the pot and stir. The onions should be sizzling, but on the quieter end of sizzling. Lower the heat if necessary. Keep cooking the onions, stirring occasionally, until very soft and translucent (but not browning), about 7-8 minutes.
2. Add the ground cumin and coriander to the pot, along with the ground chillies as well. Stir and cook along with the onions for one full minute.
3. Then, add the minced garlic and ginger to the pot and stir. Keep cooking until the garlic is very fragrant, about 1 minute.
4. Add the carrots to the pot along with big pinches of salt and pepper. Stir the carrots to coat them in the spices and sautéed onions. Then, add the red lentils to the pot and stir once more. 
5. Finally, pour in the vegetable stock and give it a final stir. Bring this broth-y carrot, lentil, and spice mixture to a boil and then lower your heat to a simmer. Simmer this mixture uncovered, stirring here and there, until the carrots are quite soft, about 30 minutes.
6. Carefully ladle the broth-y carrot, lentil, and spice mixture into the pitcher of an upright, vented blender.
7. To this mixture, add the tahini, sesame oil, and soy sauce. Close the lid on the pitcher and slowly bring the speed of the blender up to high. You may have to add a few splashes of water to get things moving. Blend until you have a completely smooth puree.
8. Pour the spicy sesame carrot soup back into the pot. At this point, you can leave it as-is or add some water to make the texture a bit more fluid. I personally like a bit of fluidity in pureed soups, so I added 2 cups of water at this point. Bring the soup up to a boil, stirring often.
9. Stir in the lemon or lime juice.
10. Give the soup a taste at this point to see if you need to adjust some of the seasoning. Maybe it needs even more lemon/lime for your taste, some extra pepper etc. Adjust the seasoning to your liking and then serve! I topped mine with chopped cilantro, drizzles of tahini and chili oil, and sesame seeds.</v>
      </c>
      <c r="C43">
        <f>VLOOKUP($A43,[1]Sheet8!$B:$H,MATCH([1]recipes!C$1,[1]Sheet8!$B$1:$H$1,0),0)</f>
        <v>6</v>
      </c>
      <c r="D43">
        <f>VLOOKUP($A43,[1]Sheet8!$B:$H,MATCH([1]recipes!D$1,[1]Sheet8!$B$1:$H$1,0),0)</f>
        <v>0</v>
      </c>
      <c r="E43">
        <f>VLOOKUP($A43,[1]Sheet8!$B:$H,MATCH([1]recipes!E$1,[1]Sheet8!$B$1:$H$1,0),0)</f>
        <v>0</v>
      </c>
      <c r="F43">
        <f>VLOOKUP($A43,[1]Sheet8!$B:$H,MATCH([1]recipes!F$1,[1]Sheet8!$B$1:$H$1,0),0)</f>
        <v>65</v>
      </c>
      <c r="G43" t="str">
        <f>VLOOKUP($A43,[1]Sheet8!$B:$H,MATCH([1]recipes!G$1,[1]Sheet8!$B$1:$H$1,0),0)</f>
        <v>https://thefirstmess.com/2021/09/08/spicy-sesame-carrot-soup/#recipe</v>
      </c>
    </row>
    <row r="44" spans="1:7" x14ac:dyDescent="0.25">
      <c r="A44" t="s">
        <v>43</v>
      </c>
      <c r="B44" t="str">
        <f>VLOOKUP($A44,[1]Sheet8!$B:$H,MATCH([1]recipes!B$1,[1]Sheet8!$B$1:$H$1,0),0)</f>
        <v>This recipe is all about multi-tasking and is totally doable in 30 minutes.
1. Start by preheating the oven to 218 C and cube your halloumi.
2. Add halloumi to a medium mixing bowl. Season with curry powder, coconut aminos, sea salt, and nutritional yeast. Shake the bowl to gently toss. Set aside.
3. Heat a medium oven-safe seasoned cast iron over medium heat. Once hot, add the halloumi and sauté for 3-4 minutes, or until a couple of the sides are browned. Then transfer to the hot oven and bake for 15 minutes.  Set aside to rest in the pan.
4. Fill a large pot halfway full with water and bring to a boil over high heat. While you wait, move on to the next step.
5. Heat a large rimmed skillet over medium heat. Once hot, add oil and cumin seed, ginger, onion, and jalapeno. Sauté until onion is soft and translucent — about 5 minutes.
6. Add diced tomatoes and garlic and stir to combine. Sauté for 3-4 minutes, or until the tomato has softened.
7. Your water should be boiling now. Add spinach and cook uncovered for 2 minutes. Then strain and rinse with cold water. Drain well. Set aside.
8. Add the tomato mixture to a blender or food processor along with cooked drained spinach and the vegetable broth (or water). Blend into a smooth sauce, scraping down sides as needed. If it has trouble blending, add more vegetable broth or water.
9. Lastly, cook your sauce. Heat the same rimmed skillet from earlier over medium heat. Once hot, add remaining oil (or some water), curry powder, and garam masala. Stir and cook for 30 seconds.
10. Add the spinach sauce and stir. Cook the mixture over medium-low heat for about 3-4 minutes to deepen the flavors. If it bubbles too much, lower heat to a simmer. Then add coconut milk and stir.
11. Taste and adjust flavor as needed, adding salt or coconut aminos to deepen the flavor and curry powder for more rich curry flavor.
12. Serve over your halloumi and garnish with another drizzle of full fat coconut milk and fresh cilantro. Rice makes a lovely side, as does garlic naan!
Store leftovers covered in the refrigerator up to 4-5 days, or in the freezer up to 1 month. Reheat in the microwave or in a rimmed skillet until hot.</v>
      </c>
      <c r="C44">
        <f>VLOOKUP($A44,[1]Sheet8!$B:$H,MATCH([1]recipes!C$1,[1]Sheet8!$B$1:$H$1,0),0)</f>
        <v>4</v>
      </c>
      <c r="D44">
        <f>VLOOKUP($A44,[1]Sheet8!$B:$H,MATCH([1]recipes!D$1,[1]Sheet8!$B$1:$H$1,0),0)</f>
        <v>0</v>
      </c>
      <c r="E44">
        <f>VLOOKUP($A44,[1]Sheet8!$B:$H,MATCH([1]recipes!E$1,[1]Sheet8!$B$1:$H$1,0),0)</f>
        <v>0</v>
      </c>
      <c r="F44">
        <f>VLOOKUP($A44,[1]Sheet8!$B:$H,MATCH([1]recipes!F$1,[1]Sheet8!$B$1:$H$1,0),0)</f>
        <v>30</v>
      </c>
      <c r="G44" t="str">
        <f>VLOOKUP($A44,[1]Sheet8!$B:$H,MATCH([1]recipes!G$1,[1]Sheet8!$B$1:$H$1,0),0)</f>
        <v>https://minimalistbaker.com/vegan-palak-paneer-with-curried-tofu/</v>
      </c>
    </row>
    <row r="45" spans="1:7" x14ac:dyDescent="0.25">
      <c r="A45" t="s">
        <v>44</v>
      </c>
      <c r="B45" t="str">
        <f>VLOOKUP($A45,[1]Sheet8!$B:$H,MATCH([1]recipes!B$1,[1]Sheet8!$B$1:$H$1,0),0)</f>
        <v>1. Preheat the oven to 230°C fan.
2. Place the sweetcorn in a large baking tray (with space for the seeds) with a drizzle of olive oil, a pinch of salt and the cumin. Mix well and cook for 15 minutes until crispy. Mix the sunflower seeds with the paprika, and add them to the corn for the last 5 minutes of the cooking time.
3. While they cook, make the dressing and dip by placing the cashews in a food processor and pulsing until a smooth mixture forms - you may need to add a few tablespoons of the almond milk to help this along, it should take a minute or two. Once smooth, add the rest of the ingredients (1 avocado, lime juice, coriander, garlic), along with some salt, and pulse until smooth. You can add more almond milk depending on the consistency you like best.
4. Place the lettuce in a large mixing bowl, with the sweetcorn, sunflower seeds, avocado, tomatoes, coriander and a generous sprinkling of salt. Pour half the dressing over the salad and mix well.
Spoon the other half into a small bowl to use as a dip.
5. Divide the salad between plates and crush the tortilla chips over the top of each - do this right as you serve the salad so that they stay crunchy. Have a bowl of extra tortilla chips on the table to accompany the bowl of dip.
*you can add black beans to make this more filling</v>
      </c>
      <c r="C45">
        <f>VLOOKUP($A45,[1]Sheet8!$B:$H,MATCH([1]recipes!C$1,[1]Sheet8!$B$1:$H$1,0),0)</f>
        <v>4</v>
      </c>
      <c r="D45">
        <f>VLOOKUP($A45,[1]Sheet8!$B:$H,MATCH([1]recipes!D$1,[1]Sheet8!$B$1:$H$1,0),0)</f>
        <v>0</v>
      </c>
      <c r="E45">
        <f>VLOOKUP($A45,[1]Sheet8!$B:$H,MATCH([1]recipes!E$1,[1]Sheet8!$B$1:$H$1,0),0)</f>
        <v>0</v>
      </c>
      <c r="F45" t="str">
        <f>VLOOKUP($A45,[1]Sheet8!$B:$H,MATCH([1]recipes!F$1,[1]Sheet8!$B$1:$H$1,0),0)</f>
        <v/>
      </c>
      <c r="G45" t="str">
        <f>VLOOKUP($A45,[1]Sheet8!$B:$H,MATCH([1]recipes!G$1,[1]Sheet8!$B$1:$H$1,0),0)</f>
        <v/>
      </c>
    </row>
    <row r="46" spans="1:7" x14ac:dyDescent="0.25">
      <c r="A46" t="s">
        <v>45</v>
      </c>
      <c r="B46" t="str">
        <f>VLOOKUP($A46,[1]Sheet8!$B:$H,MATCH([1]recipes!B$1,[1]Sheet8!$B$1:$H$1,0),0)</f>
        <v>1. Put the onion and garlic into a saucepan over a medium heat with a drizzle of olive oil, a pinch of salt and pepper and gently heat for about 5 minutes, until softened. The smaller you've cut the onion the quicker it'll cook, and the better it will mix into the quinoa.
2. Once the onion is soft, stir the quinoa into the mixture. Dissolve the stock cube in the boiling water then pour into the pan. Let the liquid come to the boil, then turn the heat down to a simmer and cook for 10-12 minutes, until the quinoa is light and fluffy.
3. While the quinoa cooks, chop off the woody ends of the asparagus and slice the stems into rounds. Place in a frying pan with the courgette half-moons and a drizzle of olive oil and a pinch of salt and gently sauté on a medium heat, until soft.
4. Now make the pea purée. Put the frozen peas into a bowl and cover with boiling water. Leave them for a couple of minutes, then drain and add to a blender with the lemon juice, 3 tablespoons of olive oil, the mustard, almond milk, nutritional yeast, and some salt and pepper. Blend until smooth.
5. Add the pea purée, courgette and asparagus to the pan with the quinoa and stir everything together.
6. Add a handful of rocket and lots of pepper on the top of each serving.</v>
      </c>
      <c r="C46">
        <f>VLOOKUP($A46,[1]Sheet8!$B:$H,MATCH([1]recipes!C$1,[1]Sheet8!$B$1:$H$1,0),0)</f>
        <v>4</v>
      </c>
      <c r="D46">
        <f>VLOOKUP($A46,[1]Sheet8!$B:$H,MATCH([1]recipes!D$1,[1]Sheet8!$B$1:$H$1,0),0)</f>
        <v>0</v>
      </c>
      <c r="E46">
        <f>VLOOKUP($A46,[1]Sheet8!$B:$H,MATCH([1]recipes!E$1,[1]Sheet8!$B$1:$H$1,0),0)</f>
        <v>0</v>
      </c>
      <c r="F46">
        <f>VLOOKUP($A46,[1]Sheet8!$B:$H,MATCH([1]recipes!F$1,[1]Sheet8!$B$1:$H$1,0),0)</f>
        <v>30</v>
      </c>
      <c r="G46" t="str">
        <f>VLOOKUP($A46,[1]Sheet8!$B:$H,MATCH([1]recipes!G$1,[1]Sheet8!$B$1:$H$1,0),0)</f>
        <v/>
      </c>
    </row>
    <row r="47" spans="1:7" x14ac:dyDescent="0.25">
      <c r="A47" t="s">
        <v>46</v>
      </c>
      <c r="B47" t="str">
        <f>VLOOKUP($A47,[1]Sheet8!$B:$H,MATCH([1]recipes!B$1,[1]Sheet8!$B$1:$H$1,0),0)</f>
        <v>1. Rinse quinoa well and place it in a small pot that you have a glass lid for. Add a few pinches of salt and 180 ml / ¾ cup of water, cover with a lid and bring to the boil. Once the water boils, decrease the heat to low-medium and let the quinoa simmer until all the water has been absorbed. To check, tilt the pot slightly, keeping the lid firmly on. If you see no water seeping out from under the grain, switch off the heat and let the quinoa sit (with the lid firmly on) for another 5-10 min to finish off cooking in its own steam. Cool it down completely.
2. Divide broccoli into small florets, snap wooden ends off the asparagus and cut zucchini into 0.5 cm / ¼” slices.
3. ROAST: Preheat the oven to 220° C / 428° F. Coat broccoli florets in 2 tsp of olive oil and season. Arrange on a large baking tray. Brush zucchini slices with olive oil on both sides, season and arrange on the same tray. Coat asparagus spears in 1 tsp of oil, season and place on the baking tray. Roast for about 8 minutes, take the asparagus off the tray if ready, carry on roasting broccoli and zucchini for another 5-7 minutes, until cooked through. Alternatively, you could use a griddle pan if you prefer.
4. STEAM: Bring a large pot of water to the boil and grab a steaming basket. Once the water comes to the boil, steam broccoli for about 5-6 minutes, zucchini slices for about 3 minutes, asparagus for about 3-5 minutes and peas for about 3 minutes. You will need to do the steaming in batches.
5. If you roasted your vegetables, bring a small pot of water to the boil, cook frozen petit pois or peas for about 3 minutes, drain and immediately refresh it under a cold tap to preserve the colour.
6. Heat up 1 tsp of oil in a small frying pan, once warm add almonds. Toast them for a few minutes until golden and slightly plump, moving them around the pan frequently. Sprinkle with flaky salt before removing from the pan. Allow to cool down and chop roughly.
7. Put all the dressing ingredients in a small blender (I used Ninja blender for this). Make sure the lemon flesh does not include the bitter pith. Blend until smooth, adjust seasoning to taste.
8. Arrange all of the salad elements on a large platter, dress with approximately half of the dressing (keep the rest in the fridge, use up in the next few days) and sprinkle with toasted almonds at the end. Pieces of soft vegan cheese, like this almond feta, scattered on top are also a nice addition.</v>
      </c>
      <c r="C47">
        <f>VLOOKUP($A47,[1]Sheet8!$B:$H,MATCH([1]recipes!C$1,[1]Sheet8!$B$1:$H$1,0),0)</f>
        <v>4</v>
      </c>
      <c r="D47">
        <f>VLOOKUP($A47,[1]Sheet8!$B:$H,MATCH([1]recipes!D$1,[1]Sheet8!$B$1:$H$1,0),0)</f>
        <v>0</v>
      </c>
      <c r="E47">
        <f>VLOOKUP($A47,[1]Sheet8!$B:$H,MATCH([1]recipes!E$1,[1]Sheet8!$B$1:$H$1,0),0)</f>
        <v>0</v>
      </c>
      <c r="F47">
        <f>VLOOKUP($A47,[1]Sheet8!$B:$H,MATCH([1]recipes!F$1,[1]Sheet8!$B$1:$H$1,0),0)</f>
        <v>40</v>
      </c>
      <c r="G47" t="str">
        <f>VLOOKUP($A47,[1]Sheet8!$B:$H,MATCH([1]recipes!G$1,[1]Sheet8!$B$1:$H$1,0),0)</f>
        <v>https://www.lazycatkitchen.com/green-vegan-salad/#recipe-start</v>
      </c>
    </row>
    <row r="48" spans="1:7" x14ac:dyDescent="0.25">
      <c r="A48" t="s">
        <v>47</v>
      </c>
      <c r="B48" t="str">
        <f>VLOOKUP($A48,[1]Sheet8!$B:$H,MATCH([1]recipes!B$1,[1]Sheet8!$B$1:$H$1,0),0)</f>
        <v>1. Heat a large, heavy-bottomed soup pot over medium heat. Add the coconut oil to the pot and let it melt. Add the onions
to the pot and stir. Saute the onions, stirring occasionally,
until translucent and quite soft, about 5 minutes. Add the chili flakes, coriander, cumin, and turmeric. Saute spices until very fragrant, about 1 minute. Add the ginger and garlic to
the pot and cook for another minute. Add a pinch of salt and pepper.
2. Add the sweet potatoes to the pot and stir to coat in the spices. Add the lentils to the pot and stir once more. Season everything liberally with salt and pepper. Add the vegetable stock and stir, scraping up any browned bits on the bottom of the pot. Place the lid on top of the pot and bring to a boil.
3. Once the stew is boiling, lower the heat to a simmer and set the lid slightly askew on top of the pot so that there's a couple inches available for steam to escape. Simmer until the sweet potatoes are almost falling apart and the lentils are tender, about 30 minutes. The liquid should also be reduced by almost a third.
4. Add the coconut milk and kale to the pot and stir. Place the lid on top and continue to simmer the
stew until the kale is wilted and bright green, about 3-4 minutes. Season the sweet potato and coconut milk stew again with salt and pepper. Bring the stew back up to a strong simmer and check for seasoning. Adjust with more salt, pepper, chili etc. if necessary.
5. Serve the sweet potato and coconut milk stew hot with chopped cilantro, extra chili flakes, lime wedges, and Nigella seeds (if using).</v>
      </c>
      <c r="C48">
        <f>VLOOKUP($A48,[1]Sheet8!$B:$H,MATCH([1]recipes!C$1,[1]Sheet8!$B$1:$H$1,0),0)</f>
        <v>6</v>
      </c>
      <c r="D48">
        <f>VLOOKUP($A48,[1]Sheet8!$B:$H,MATCH([1]recipes!D$1,[1]Sheet8!$B$1:$H$1,0),0)</f>
        <v>0</v>
      </c>
      <c r="E48">
        <f>VLOOKUP($A48,[1]Sheet8!$B:$H,MATCH([1]recipes!E$1,[1]Sheet8!$B$1:$H$1,0),0)</f>
        <v>0</v>
      </c>
      <c r="F48">
        <f>VLOOKUP($A48,[1]Sheet8!$B:$H,MATCH([1]recipes!F$1,[1]Sheet8!$B$1:$H$1,0),0)</f>
        <v>65</v>
      </c>
      <c r="G48" t="str">
        <f>VLOOKUP($A48,[1]Sheet8!$B:$H,MATCH([1]recipes!G$1,[1]Sheet8!$B$1:$H$1,0),0)</f>
        <v>https://thefirstmess.com/2020/02/19/sweet-potato-coconut-milk-stew/#recipe</v>
      </c>
    </row>
    <row r="49" spans="1:7" x14ac:dyDescent="0.25">
      <c r="A49" t="s">
        <v>48</v>
      </c>
      <c r="B49" t="str">
        <f>VLOOKUP($A49,[1]Sheet8!$B:$H,MATCH([1]recipes!B$1,[1]Sheet8!$B$1:$H$1,0),0)</f>
        <v>Preheat the oven to 180C/gas mark 4.
Combine the oat and almond flours, cornflour and sea salt in a bowl.
Add the coconut oil and ice-cold water.
With your hands, work the dry ingredients towards the centre until a dough forms.
Gather the dough into a ball, wrap in bee wax ‘paper’ or place it in a bowl and cover with a plate, then chill for about 30 minutes.
Press the dough evenly into a 20cm tart case.
Trim the dough flush with the edge of the case.
Prick the bottom with a fork and blind bake for about 10 minutes.
Reduce the oven to 170C/gas mark 3.
Crack the eggs into a mixing bowl, whisk for 30 seconds, then crumble in the feta cheese.
Stir in the oregano, chilli flakes, nutmeg and a pinch of salt and pepper.
Set aside.
Heat the olive oil in a large frying pan on a medium-high heat.
Add the spring onions and garlic and fry for about 3 minutes until golden.
Add half of the spinach and a pinch of salt.
Stir the spinach gently until it wilts, then add the rest and keep on stirring until wilted.
Remove from the heat and pour into the mixing bowl containing the egg and cheese mixture.
Stir well until everything is combined.
Spoon the filling into the crust.
Bake for about 30 minutes until the filling is firm and golden.
Let it cool for a while before serving.</v>
      </c>
      <c r="C49">
        <f>VLOOKUP($A49,[1]Sheet8!$B:$H,MATCH([1]recipes!C$1,[1]Sheet8!$B$1:$H$1,0),0)</f>
        <v>4</v>
      </c>
      <c r="D49">
        <f>VLOOKUP($A49,[1]Sheet8!$B:$H,MATCH([1]recipes!D$1,[1]Sheet8!$B$1:$H$1,0),0)</f>
        <v>0</v>
      </c>
      <c r="E49">
        <f>VLOOKUP($A49,[1]Sheet8!$B:$H,MATCH([1]recipes!E$1,[1]Sheet8!$B$1:$H$1,0),0)</f>
        <v>0</v>
      </c>
      <c r="F49">
        <f>VLOOKUP($A49,[1]Sheet8!$B:$H,MATCH([1]recipes!F$1,[1]Sheet8!$B$1:$H$1,0),0)</f>
        <v>45</v>
      </c>
      <c r="G49" t="str">
        <f>VLOOKUP($A49,[1]Sheet8!$B:$H,MATCH([1]recipes!G$1,[1]Sheet8!$B$1:$H$1,0),0)</f>
        <v>https://www.google.com/amp/s/greenkitchenstories.com/feta-spinach-pie-with-an-oat-crust/%3Famp</v>
      </c>
    </row>
    <row r="50" spans="1:7" x14ac:dyDescent="0.25">
      <c r="A50" t="s">
        <v>49</v>
      </c>
      <c r="B50" t="str">
        <f>VLOOKUP($A50,[1]Sheet8!$B:$H,MATCH([1]recipes!B$1,[1]Sheet8!$B$1:$H$1,0),0)</f>
        <v>1 Slice into the brinjals, leaving the tops still intact, to make a fan shape.
2 Heat a large pan and add half the olive oil. Fry the brinjals until golden brown on both sides, seasoning with salt and pepper. Place in an ovenproof dish.
3 Preheat the oven to 200°C. To make the sauce, heat a saucepan and add the remaining olive oil. Fry the onion over a medium heat until it begins to soften and caramelise slightly.
4 Add the spices and oregano and fry for 1 minute, then add the garlic and chilli and fry for another few minutes. Stir in the tomato paste, then pour in the tomatoes. Break them with a wooden spoon to make a chunky sauce. Sprinkle in the sugar.
5 Simmer for 10 minutes, then pour over the brinjals. Crumble over the feta, top with the mozzarella and cover with tinfoil. Bake for 20 minutes, or until the brinjals are soft and cooked through when pierced with a knife. Uncover and grill until golden brown. To serve, spoon over the basil pesto and top with torn basil leaves.</v>
      </c>
      <c r="C50">
        <f>VLOOKUP($A50,[1]Sheet8!$B:$H,MATCH([1]recipes!C$1,[1]Sheet8!$B$1:$H$1,0),0)</f>
        <v>6</v>
      </c>
      <c r="D50">
        <f>VLOOKUP($A50,[1]Sheet8!$B:$H,MATCH([1]recipes!D$1,[1]Sheet8!$B$1:$H$1,0),0)</f>
        <v>0</v>
      </c>
      <c r="E50">
        <f>VLOOKUP($A50,[1]Sheet8!$B:$H,MATCH([1]recipes!E$1,[1]Sheet8!$B$1:$H$1,0),0)</f>
        <v>0</v>
      </c>
      <c r="F50">
        <f>VLOOKUP($A50,[1]Sheet8!$B:$H,MATCH([1]recipes!F$1,[1]Sheet8!$B$1:$H$1,0),0)</f>
        <v>40</v>
      </c>
      <c r="G50" t="str">
        <f>VLOOKUP($A50,[1]Sheet8!$B:$H,MATCH([1]recipes!G$1,[1]Sheet8!$B$1:$H$1,0),0)</f>
        <v>https://taste.co.za/recipes/cheesy-brinjal-bake/</v>
      </c>
    </row>
    <row r="51" spans="1:7" x14ac:dyDescent="0.25">
      <c r="A51" t="s">
        <v>50</v>
      </c>
      <c r="B51" t="str">
        <f>VLOOKUP($A51,[1]Sheet8!$B:$H,MATCH([1]recipes!B$1,[1]Sheet8!$B$1:$H$1,0),0)</f>
        <v>1. Preheat oven to 200C.
2. Cut butternut into roughly equal sized cubes about 1/2-1 inch.
3. Place on a large baking tray, drizzle generously with oil salt and pepper, toss and place in the oven for 35-40 minutes until soft through and starting to brown on the edges.
4. In the meantime, start the curry. Add coconut oil to a large pan on medium heat, once melted add finely chopped onion. Stir and fry for a few minutes then add crushed garlic and grated ginger. Leave to cook for a further minute.
5. Add all the spices - curry powder, garam masala, cumin, cumin seeds, turmeric and chilli powder. Cook for 30 seconds until fragrant, add a little more oil if needed so it doesn't burn.
6. Add the chopped tomatoes, coconut milk and vegetable stock. Bring to a gentle simmer and let cook for 10 minutes. Transfer to a bowl and blend with a hand blender till smooth, or a food processor. Transfer back to the pan.
7. Add the chickpeas and cook for a further 5-10 minutes, it should have thickened and be nice and creamy and orange in colour. Taste the sauce and season with salt and pepper. If you like it spicy you can add some extra chilli powder.
8. Add the roasted butternut squash, stir and serve! Top with some chopped fresh coriander and serve with basmati rice and your favourite sides - like my onion bhajis!</v>
      </c>
      <c r="C51">
        <f>VLOOKUP($A51,[1]Sheet8!$B:$H,MATCH([1]recipes!C$1,[1]Sheet8!$B$1:$H$1,0),0)</f>
        <v>4</v>
      </c>
      <c r="D51">
        <f>VLOOKUP($A51,[1]Sheet8!$B:$H,MATCH([1]recipes!D$1,[1]Sheet8!$B$1:$H$1,0),0)</f>
        <v>0</v>
      </c>
      <c r="E51">
        <f>VLOOKUP($A51,[1]Sheet8!$B:$H,MATCH([1]recipes!E$1,[1]Sheet8!$B$1:$H$1,0),0)</f>
        <v>0</v>
      </c>
      <c r="F51">
        <f>VLOOKUP($A51,[1]Sheet8!$B:$H,MATCH([1]recipes!F$1,[1]Sheet8!$B$1:$H$1,0),0)</f>
        <v>55</v>
      </c>
      <c r="G51" t="str">
        <f>VLOOKUP($A51,[1]Sheet8!$B:$H,MATCH([1]recipes!G$1,[1]Sheet8!$B$1:$H$1,0),0)</f>
        <v>https://cupfulofkale.com/vegan-roasted-butternut-squash-and-chickpea-curry/</v>
      </c>
    </row>
    <row r="52" spans="1:7" x14ac:dyDescent="0.25">
      <c r="A52" t="s">
        <v>51</v>
      </c>
      <c r="B52" t="str">
        <f>VLOOKUP($A52,[1]Sheet8!$B:$H,MATCH([1]recipes!B$1,[1]Sheet8!$B$1:$H$1,0),0)</f>
        <v>Wash all the produce.
Peel and chop the onion and carrot(s).
De-stem, de-seed and chop the pepper.
Remove the rough ends from the celery and chop.
Peel and mince the garlic.
Roughly chop the cilantro.
In a large heavy-bottomed pot, heat the olive oil over medium heat until shimmering.
Add the onion, bell pepper, carrots, celery and a pinch of salt.
Stir to combine and cook for about 10 minutes, stirring occasionally, until the vegetables are tender and slightly browned.
Add the garlic, chili powder, cumin, smoked paprika, and oregano and cook, stirring constantly, for about 1 minute, until well combined and garlic has had a chance to cook.
Drain and rinse the beans.
Add the tomatoes and their juices, the black beans, kidney beans, vegetable broth, and bay leaf.
Stir to combine and bring the mixture to a simmer.
Continue cooking, stirring occasionally and reducing the heat as necessary to maintain a gentle simmer, for 30 minutes.
Remove the chili from the heat.
Transfer 1/2 of the chili to a blender, making sure to get some of the liquid.
Securely fasten the lid and blend until smooth (watch out for hot steam), then pour the blended mixture back into the pot.
Alternately, you can blend the chili briefly with an immersion blender or mash it with a potato masher until it reaches a thicker consistency.
Add the chopped cilantro and lime juice. 
Divide the mixture among individual bowls and serve with your choice of garnishes.
Suggested toppings and garnishes: chopped cilantro, sliced avocado, tortilla chips.
The chili will keep in the refrigerator for up to 4 days, or you can freeze for up to one month.</v>
      </c>
      <c r="C52">
        <f>VLOOKUP($A52,[1]Sheet8!$B:$H,MATCH([1]recipes!C$1,[1]Sheet8!$B$1:$H$1,0),0)</f>
        <v>4</v>
      </c>
      <c r="D52">
        <f>VLOOKUP($A52,[1]Sheet8!$B:$H,MATCH([1]recipes!D$1,[1]Sheet8!$B$1:$H$1,0),0)</f>
        <v>0</v>
      </c>
      <c r="E52">
        <f>VLOOKUP($A52,[1]Sheet8!$B:$H,MATCH([1]recipes!E$1,[1]Sheet8!$B$1:$H$1,0),0)</f>
        <v>0</v>
      </c>
      <c r="F52" t="str">
        <f>VLOOKUP($A52,[1]Sheet8!$B:$H,MATCH([1]recipes!F$1,[1]Sheet8!$B$1:$H$1,0),0)</f>
        <v/>
      </c>
      <c r="G52" t="str">
        <f>VLOOKUP($A52,[1]Sheet8!$B:$H,MATCH([1]recipes!G$1,[1]Sheet8!$B$1:$H$1,0),0)</f>
        <v>https://mymeals.earthyandy.com/recipe/6025ce03b6c8c2e513dae502</v>
      </c>
    </row>
    <row r="53" spans="1:7" x14ac:dyDescent="0.25">
      <c r="A53" t="s">
        <v>52</v>
      </c>
      <c r="B53" t="str">
        <f>VLOOKUP($A53,[1]Sheet8!$B:$H,MATCH([1]recipes!B$1,[1]Sheet8!$B$1:$H$1,0),0)</f>
        <v>In an upright, high speed blender, combine the drained cashews, water, and maple syrup. Blend on high until you have a heavy cream-like consistency, about 1 minute. Set aside.
Place a large, deep skillet (or braiser) over medium heat.
Add the coconut oil to the skillet and swirl it around.
Add the onions to the skillet and saute until translucent and soft, about 5 minutes.
Add the cumin, coriander, paprika, cardamom, cinnamon, and nutmeg to the skillet, and cook, stirring often, for about 1 minute.
Add the garlic and cook for an additional minute.
Season liberally with salt and pepper and stir.
Add the diced tomatoes and stir to combine.
Then, add the cashew cream and stir.
Carefully transfer the sauce to an upright, high speed blender. Carefully blend the mixture on high until smooth, about 30 seconds.
Return the pureed sauce to the skillet on the stove.
Add the chickpeas and stir.
Bring the vegan “butter” chickpeas to a boil, and then simmer for 10 minutes, or until sauce is slightly thickened and clinging to the chickpeas.
Stir in the lemon juice and check the dish for seasoning.
Adjust salt/pepper/spice/acidity if necessary.
Top the vegan “butter” chickpeas with chopped cilantro.
Serve hot with rice or flatbread of choice.</v>
      </c>
      <c r="C53">
        <f>VLOOKUP($A53,[1]Sheet8!$B:$H,MATCH([1]recipes!C$1,[1]Sheet8!$B$1:$H$1,0),0)</f>
        <v>4</v>
      </c>
      <c r="D53">
        <f>VLOOKUP($A53,[1]Sheet8!$B:$H,MATCH([1]recipes!D$1,[1]Sheet8!$B$1:$H$1,0),0)</f>
        <v>0</v>
      </c>
      <c r="E53">
        <f>VLOOKUP($A53,[1]Sheet8!$B:$H,MATCH([1]recipes!E$1,[1]Sheet8!$B$1:$H$1,0),0)</f>
        <v>0</v>
      </c>
      <c r="F53">
        <f>VLOOKUP($A53,[1]Sheet8!$B:$H,MATCH([1]recipes!F$1,[1]Sheet8!$B$1:$H$1,0),0)</f>
        <v>40</v>
      </c>
      <c r="G53" t="str">
        <f>VLOOKUP($A53,[1]Sheet8!$B:$H,MATCH([1]recipes!G$1,[1]Sheet8!$B$1:$H$1,0),0)</f>
        <v>https://thefirstmess.com/2019/09/11/spiced-vegan-butter-chickpeas/</v>
      </c>
    </row>
    <row r="54" spans="1:7" x14ac:dyDescent="0.25">
      <c r="A54" t="s">
        <v>53</v>
      </c>
      <c r="B54" t="str">
        <f>VLOOKUP($A54,[1]Sheet8!$B:$H,MATCH([1]recipes!B$1,[1]Sheet8!$B$1:$H$1,0),0)</f>
        <v>Preheat the oven to 190C, fan setting.
Cut the butternut squash in half widthways.
Scrape out the seeds from one side before cutting
that half into slices.
Cut the other half into small
bite-sized chunks.
Place all of the butternut squash pieces onto a
baking tray and top with the cinnamon, cumin, a good drizzle of olive oil and a pinch of salt.
Mix well before cooking for 30 minutes, or until the
butternut squash turn's soft.
Place a large pan over a medium heat and add a
drizzle of olive oil.
Once warm, add the diced
onion, garlic and a pinch of salt.
Mix well and cook for 5 minutes until the onion turns soft.
Mix through the turmeric, ginger and curry powder and cook for a minute before adding the red lentils and coconut milk.
Mix well and cook for 15-20 minutes or until the red lentils feel soft, adding the almond milk bit by bit as the mixture absorbs the liquid.
Once the red lentils feel soft, stir through the
spinach, lime juice and bite-sized pieces of butternut squash.
Once ready to serve, mix through the yoghurt.
Top with the roasted butternut squash slices,
some chopped coriander, chilli, toasted almonds,
coconut chips and sliced spring onions before
serving.</v>
      </c>
      <c r="C54">
        <f>VLOOKUP($A54,[1]Sheet8!$B:$H,MATCH([1]recipes!C$1,[1]Sheet8!$B$1:$H$1,0),0)</f>
        <v>4</v>
      </c>
      <c r="D54">
        <f>VLOOKUP($A54,[1]Sheet8!$B:$H,MATCH([1]recipes!D$1,[1]Sheet8!$B$1:$H$1,0),0)</f>
        <v>0</v>
      </c>
      <c r="E54">
        <f>VLOOKUP($A54,[1]Sheet8!$B:$H,MATCH([1]recipes!E$1,[1]Sheet8!$B$1:$H$1,0),0)</f>
        <v>0</v>
      </c>
      <c r="F54">
        <f>VLOOKUP($A54,[1]Sheet8!$B:$H,MATCH([1]recipes!F$1,[1]Sheet8!$B$1:$H$1,0),0)</f>
        <v>35</v>
      </c>
      <c r="G54" t="str">
        <f>VLOOKUP($A54,[1]Sheet8!$B:$H,MATCH([1]recipes!G$1,[1]Sheet8!$B$1:$H$1,0),0)</f>
        <v/>
      </c>
    </row>
    <row r="55" spans="1:7" x14ac:dyDescent="0.25">
      <c r="A55" t="s">
        <v>54</v>
      </c>
      <c r="B55" t="str">
        <f>VLOOKUP($A55,[1]Sheet8!$B:$H,MATCH([1]recipes!B$1,[1]Sheet8!$B$1:$H$1,0),0)</f>
        <v>Firstly add all the sauce ingredients into a
blender and whizz into a smooth sauce
Now heat a wok/pan/pot with coconut oil + tamari
adding in the chopped veg to fry for 5 minutes.
Now add in the green sauce (+ water if you feel your sauce needs it) and simmer for 10-15 until the veg has softened.
Finally serve with rice or quinoa, lime juice and
fresh coriander.</v>
      </c>
      <c r="C55">
        <f>VLOOKUP($A55,[1]Sheet8!$B:$H,MATCH([1]recipes!C$1,[1]Sheet8!$B$1:$H$1,0),0)</f>
        <v>4</v>
      </c>
      <c r="D55">
        <f>VLOOKUP($A55,[1]Sheet8!$B:$H,MATCH([1]recipes!D$1,[1]Sheet8!$B$1:$H$1,0),0)</f>
        <v>0</v>
      </c>
      <c r="E55">
        <f>VLOOKUP($A55,[1]Sheet8!$B:$H,MATCH([1]recipes!E$1,[1]Sheet8!$B$1:$H$1,0),0)</f>
        <v>0</v>
      </c>
      <c r="F55">
        <f>VLOOKUP($A55,[1]Sheet8!$B:$H,MATCH([1]recipes!F$1,[1]Sheet8!$B$1:$H$1,0),0)</f>
        <v>30</v>
      </c>
      <c r="G55" t="str">
        <f>VLOOKUP($A55,[1]Sheet8!$B:$H,MATCH([1]recipes!G$1,[1]Sheet8!$B$1:$H$1,0),0)</f>
        <v/>
      </c>
    </row>
    <row r="56" spans="1:7" x14ac:dyDescent="0.25">
      <c r="A56" t="s">
        <v>55</v>
      </c>
      <c r="B56" t="str">
        <f>VLOOKUP($A56,[1]Sheet8!$B:$H,MATCH([1]recipes!B$1,[1]Sheet8!$B$1:$H$1,0),0)</f>
        <v/>
      </c>
      <c r="C56" t="str">
        <f>VLOOKUP($A56,[1]Sheet8!$B:$H,MATCH([1]recipes!C$1,[1]Sheet8!$B$1:$H$1,0),0)</f>
        <v/>
      </c>
      <c r="D56">
        <f>VLOOKUP($A56,[1]Sheet8!$B:$H,MATCH([1]recipes!D$1,[1]Sheet8!$B$1:$H$1,0),0)</f>
        <v>0</v>
      </c>
      <c r="E56">
        <f>VLOOKUP($A56,[1]Sheet8!$B:$H,MATCH([1]recipes!E$1,[1]Sheet8!$B$1:$H$1,0),0)</f>
        <v>0</v>
      </c>
      <c r="F56" t="str">
        <f>VLOOKUP($A56,[1]Sheet8!$B:$H,MATCH([1]recipes!F$1,[1]Sheet8!$B$1:$H$1,0),0)</f>
        <v/>
      </c>
      <c r="G56" t="str">
        <f>VLOOKUP($A56,[1]Sheet8!$B:$H,MATCH([1]recipes!G$1,[1]Sheet8!$B$1:$H$1,0),0)</f>
        <v>https://www.servingdumplings.com/recipes/thai-coconut-shrimp-curry/</v>
      </c>
    </row>
    <row r="57" spans="1:7" x14ac:dyDescent="0.25">
      <c r="A57" t="s">
        <v>56</v>
      </c>
      <c r="B57" t="str">
        <f>VLOOKUP($A57,[1]Sheet8!$B:$H,MATCH([1]recipes!B$1,[1]Sheet8!$B$1:$H$1,0),0)</f>
        <v>Mash bananas.
Beat eggs.
Combine all ingredients.
Fry in coconut oil.
Serve with yoghurt and peaches.</v>
      </c>
      <c r="C57" t="str">
        <f>VLOOKUP($A57,[1]Sheet8!$B:$H,MATCH([1]recipes!C$1,[1]Sheet8!$B$1:$H$1,0),0)</f>
        <v/>
      </c>
      <c r="D57">
        <f>VLOOKUP($A57,[1]Sheet8!$B:$H,MATCH([1]recipes!D$1,[1]Sheet8!$B$1:$H$1,0),0)</f>
        <v>0</v>
      </c>
      <c r="E57">
        <f>VLOOKUP($A57,[1]Sheet8!$B:$H,MATCH([1]recipes!E$1,[1]Sheet8!$B$1:$H$1,0),0)</f>
        <v>0</v>
      </c>
      <c r="F57" t="str">
        <f>VLOOKUP($A57,[1]Sheet8!$B:$H,MATCH([1]recipes!F$1,[1]Sheet8!$B$1:$H$1,0),0)</f>
        <v/>
      </c>
      <c r="G57" t="str">
        <f>VLOOKUP($A57,[1]Sheet8!$B:$H,MATCH([1]recipes!G$1,[1]Sheet8!$B$1:$H$1,0),0)</f>
        <v/>
      </c>
    </row>
    <row r="58" spans="1:7" x14ac:dyDescent="0.25">
      <c r="A58" t="s">
        <v>57</v>
      </c>
      <c r="B58" t="str">
        <f>VLOOKUP($A58,[1]Sheet8!$B:$H,MATCH([1]recipes!B$1,[1]Sheet8!$B$1:$H$1,0),0)</f>
        <v>1. Add all the ingredients to a food processor and pulse until combined.
2. Scoop out some dough using a spoon and roll into balls. 
3. Roll each ball into the shredded coconut to coat. 
4. Place in the fridge to firm up for at least one hour.
Store these energy balls in the fridge for up to 2 weeks.</v>
      </c>
      <c r="C58">
        <f>VLOOKUP($A58,[1]Sheet8!$B:$H,MATCH([1]recipes!C$1,[1]Sheet8!$B$1:$H$1,0),0)</f>
        <v>12</v>
      </c>
      <c r="D58">
        <f>VLOOKUP($A58,[1]Sheet8!$B:$H,MATCH([1]recipes!D$1,[1]Sheet8!$B$1:$H$1,0),0)</f>
        <v>0</v>
      </c>
      <c r="E58">
        <f>VLOOKUP($A58,[1]Sheet8!$B:$H,MATCH([1]recipes!E$1,[1]Sheet8!$B$1:$H$1,0),0)</f>
        <v>0</v>
      </c>
      <c r="F58">
        <f>VLOOKUP($A58,[1]Sheet8!$B:$H,MATCH([1]recipes!F$1,[1]Sheet8!$B$1:$H$1,0),0)</f>
        <v>15</v>
      </c>
      <c r="G58" t="str">
        <f>VLOOKUP($A58,[1]Sheet8!$B:$H,MATCH([1]recipes!G$1,[1]Sheet8!$B$1:$H$1,0),0)</f>
        <v>https://choosingchia.com/carrot-cake-energy-balls/</v>
      </c>
    </row>
    <row r="59" spans="1:7" x14ac:dyDescent="0.25">
      <c r="A59" t="s">
        <v>58</v>
      </c>
      <c r="B59" t="str">
        <f>VLOOKUP($A59,[1]Sheet8!$B:$H,MATCH([1]recipes!B$1,[1]Sheet8!$B$1:$H$1,0),0)</f>
        <v>1. Thoroughly rinse one 15oz can of chickpeas in a strainer. Pat the chickpeas dry using a towel.
2. Add the chickpeas to a bowl. To the bowl, add 1 tsp melted coconut oil. Mix the contents of the bowl until the chickpeas are evenly coated.
3. Evenly space the chickpeas across a baking dish. Bake at 400 degrees for about 30 minutes or until the chickpeas are crispy. Alternatively, air fry the chickpeas at 400 degrees for about 20-25 minutes or until the chickpeas are crispy. Remove the chickpeas from the oven and allow them to cool.
4. Melt the chocolate chips. Place the crispy chickpeas in a bread pan lined with parchment paper. Add the melted chocolate chips to the bread pan. Spread until evenly coated and top with a pinch of sea salt.
5. Place the bread pan in the fridge for about an hour or until the chocolate has completely hardened.
6. Once hardened, remove the chocolate from the bread pan and cut into bars.</v>
      </c>
      <c r="C59" t="str">
        <f>VLOOKUP($A59,[1]Sheet8!$B:$H,MATCH([1]recipes!C$1,[1]Sheet8!$B$1:$H$1,0),0)</f>
        <v/>
      </c>
      <c r="D59">
        <f>VLOOKUP($A59,[1]Sheet8!$B:$H,MATCH([1]recipes!D$1,[1]Sheet8!$B$1:$H$1,0),0)</f>
        <v>0</v>
      </c>
      <c r="E59">
        <f>VLOOKUP($A59,[1]Sheet8!$B:$H,MATCH([1]recipes!E$1,[1]Sheet8!$B$1:$H$1,0),0)</f>
        <v>0</v>
      </c>
      <c r="F59">
        <f>VLOOKUP($A59,[1]Sheet8!$B:$H,MATCH([1]recipes!F$1,[1]Sheet8!$B$1:$H$1,0),0)</f>
        <v>35</v>
      </c>
      <c r="G59" t="str">
        <f>VLOOKUP($A59,[1]Sheet8!$B:$H,MATCH([1]recipes!G$1,[1]Sheet8!$B$1:$H$1,0),0)</f>
        <v>https://wellbymelnutrition.com/chickpea-crunch-bars/</v>
      </c>
    </row>
    <row r="60" spans="1:7" x14ac:dyDescent="0.25">
      <c r="A60" t="s">
        <v>59</v>
      </c>
      <c r="B60" t="str">
        <f>VLOOKUP($A60,[1]Sheet8!$B:$H,MATCH([1]recipes!B$1,[1]Sheet8!$B$1:$H$1,0),0)</f>
        <v>In a small saucepan, bring the coconut milk, maple syrup and vanilla extract to a boil. Cover and simmer for 20 minutes (or until mixture is golden brown and starts to thicken), stirring every few minutes. The mixture does not need to be thick like caramel for this recipe! 
Combine the caramel mixture with almond butter. Line a bread pan with parchment paper &amp; pour mixture evenly across bottom.
Freeze for 2-3 hours or until filling is hard enough to cut into squares. 
Cut into 24-30 small squares. Place back in the freezer while you melt the chocolate. Using a fork, dip each square in the melted chocolate and place on a baking sheet lined with parchment paper. Sprinkle with sea salt and place back in the freezer for ~1 hour.</v>
      </c>
      <c r="C60" t="str">
        <f>VLOOKUP($A60,[1]Sheet8!$B:$H,MATCH([1]recipes!C$1,[1]Sheet8!$B$1:$H$1,0),0)</f>
        <v/>
      </c>
      <c r="D60">
        <f>VLOOKUP($A60,[1]Sheet8!$B:$H,MATCH([1]recipes!D$1,[1]Sheet8!$B$1:$H$1,0),0)</f>
        <v>0</v>
      </c>
      <c r="E60">
        <f>VLOOKUP($A60,[1]Sheet8!$B:$H,MATCH([1]recipes!E$1,[1]Sheet8!$B$1:$H$1,0),0)</f>
        <v>0</v>
      </c>
      <c r="F60" t="str">
        <f>VLOOKUP($A60,[1]Sheet8!$B:$H,MATCH([1]recipes!F$1,[1]Sheet8!$B$1:$H$1,0),0)</f>
        <v/>
      </c>
      <c r="G60" t="str">
        <f>VLOOKUP($A60,[1]Sheet8!$B:$H,MATCH([1]recipes!G$1,[1]Sheet8!$B$1:$H$1,0),0)</f>
        <v>https://figgindelicious.com/salted-caramel-almond-butter-bites/</v>
      </c>
    </row>
    <row r="61" spans="1:7" x14ac:dyDescent="0.25">
      <c r="A61" t="s">
        <v>60</v>
      </c>
      <c r="B61" t="str">
        <f>VLOOKUP($A61,[1]Sheet8!$B:$H,MATCH([1]recipes!B$1,[1]Sheet8!$B$1:$H$1,0),0)</f>
        <v>1. Mix the flour and chia seeds in a large bowl. Then add the almond milk, melted coconut oil and maple syrup; mix well, until a smooth batter forms. Set the batter aside for 4-5 minutes to thicken a little.
2. Next, warm some coconut oil in a pan over medium heat. Once the pan is hot, add a large spoonful of batter to the pan, moving the pan around (it needed) to make a pancake shape.
3. As the pancake begins to set, sprinkle some fresh blueberries on top and cook for 3-5 minutes, until the bottom feels cooked. Flip and cook on the other side, until cooked through.</v>
      </c>
      <c r="C61" t="str">
        <f>VLOOKUP($A61,[1]Sheet8!$B:$H,MATCH([1]recipes!C$1,[1]Sheet8!$B$1:$H$1,0),0)</f>
        <v/>
      </c>
      <c r="D61">
        <f>VLOOKUP($A61,[1]Sheet8!$B:$H,MATCH([1]recipes!D$1,[1]Sheet8!$B$1:$H$1,0),0)</f>
        <v>0</v>
      </c>
      <c r="E61">
        <f>VLOOKUP($A61,[1]Sheet8!$B:$H,MATCH([1]recipes!E$1,[1]Sheet8!$B$1:$H$1,0),0)</f>
        <v>0</v>
      </c>
      <c r="F61" t="str">
        <f>VLOOKUP($A61,[1]Sheet8!$B:$H,MATCH([1]recipes!F$1,[1]Sheet8!$B$1:$H$1,0),0)</f>
        <v/>
      </c>
      <c r="G61" t="str">
        <f>VLOOKUP($A61,[1]Sheet8!$B:$H,MATCH([1]recipes!G$1,[1]Sheet8!$B$1:$H$1,0),0)</f>
        <v/>
      </c>
    </row>
    <row r="62" spans="1:7" x14ac:dyDescent="0.25">
      <c r="A62" t="s">
        <v>61</v>
      </c>
      <c r="B62" t="str">
        <f>VLOOKUP($A62,[1]Sheet8!$B:$H,MATCH([1]recipes!B$1,[1]Sheet8!$B$1:$H$1,0),0)</f>
        <v>1. Drain, rinse and dry the chickpeas.
2. Roast at 220 degree Celsius for 30 mins.
3. Blend with other ingredients (hot water).
4. Store in the fridge.</v>
      </c>
      <c r="C62">
        <f>VLOOKUP($A62,[1]Sheet8!$B:$H,MATCH([1]recipes!C$1,[1]Sheet8!$B$1:$H$1,0),0)</f>
        <v>10</v>
      </c>
      <c r="D62">
        <f>VLOOKUP($A62,[1]Sheet8!$B:$H,MATCH([1]recipes!D$1,[1]Sheet8!$B$1:$H$1,0),0)</f>
        <v>0</v>
      </c>
      <c r="E62">
        <f>VLOOKUP($A62,[1]Sheet8!$B:$H,MATCH([1]recipes!E$1,[1]Sheet8!$B$1:$H$1,0),0)</f>
        <v>0</v>
      </c>
      <c r="F62" t="str">
        <f>VLOOKUP($A62,[1]Sheet8!$B:$H,MATCH([1]recipes!F$1,[1]Sheet8!$B$1:$H$1,0),0)</f>
        <v/>
      </c>
      <c r="G62" t="str">
        <f>VLOOKUP($A62,[1]Sheet8!$B:$H,MATCH([1]recipes!G$1,[1]Sheet8!$B$1:$H$1,0),0)</f>
        <v/>
      </c>
    </row>
    <row r="63" spans="1:7" x14ac:dyDescent="0.25">
      <c r="A63" t="s">
        <v>62</v>
      </c>
      <c r="B63" t="str">
        <f>VLOOKUP($A63,[1]Sheet8!$B:$H,MATCH([1]recipes!B$1,[1]Sheet8!$B$1:$H$1,0),0)</f>
        <v>1. Cute bananas lengthways.
2. Put peanut butter on the banana.
3. Sprinkle peanuts over the banana.
4. Drizzle over chocolate.</v>
      </c>
      <c r="C63" t="str">
        <f>VLOOKUP($A63,[1]Sheet8!$B:$H,MATCH([1]recipes!C$1,[1]Sheet8!$B$1:$H$1,0),0)</f>
        <v/>
      </c>
      <c r="D63">
        <f>VLOOKUP($A63,[1]Sheet8!$B:$H,MATCH([1]recipes!D$1,[1]Sheet8!$B$1:$H$1,0),0)</f>
        <v>0</v>
      </c>
      <c r="E63">
        <f>VLOOKUP($A63,[1]Sheet8!$B:$H,MATCH([1]recipes!E$1,[1]Sheet8!$B$1:$H$1,0),0)</f>
        <v>0</v>
      </c>
      <c r="F63" t="str">
        <f>VLOOKUP($A63,[1]Sheet8!$B:$H,MATCH([1]recipes!F$1,[1]Sheet8!$B$1:$H$1,0),0)</f>
        <v/>
      </c>
      <c r="G63" t="str">
        <f>VLOOKUP($A63,[1]Sheet8!$B:$H,MATCH([1]recipes!G$1,[1]Sheet8!$B$1:$H$1,0),0)</f>
        <v/>
      </c>
    </row>
    <row r="64" spans="1:7" x14ac:dyDescent="0.25">
      <c r="A64" t="s">
        <v>63</v>
      </c>
      <c r="B64" t="str">
        <f>VLOOKUP($A64,[1]Sheet8!$B:$H,MATCH([1]recipes!B$1,[1]Sheet8!$B$1:$H$1,0),0)</f>
        <v>1. Freeze bananas.
2. Cool coconut milk.
3. Blend all ingredients.</v>
      </c>
      <c r="C64">
        <f>VLOOKUP($A64,[1]Sheet8!$B:$H,MATCH([1]recipes!C$1,[1]Sheet8!$B$1:$H$1,0),0)</f>
        <v>2</v>
      </c>
      <c r="D64">
        <f>VLOOKUP($A64,[1]Sheet8!$B:$H,MATCH([1]recipes!D$1,[1]Sheet8!$B$1:$H$1,0),0)</f>
        <v>0</v>
      </c>
      <c r="E64">
        <f>VLOOKUP($A64,[1]Sheet8!$B:$H,MATCH([1]recipes!E$1,[1]Sheet8!$B$1:$H$1,0),0)</f>
        <v>0</v>
      </c>
      <c r="F64" t="str">
        <f>VLOOKUP($A64,[1]Sheet8!$B:$H,MATCH([1]recipes!F$1,[1]Sheet8!$B$1:$H$1,0),0)</f>
        <v/>
      </c>
      <c r="G64" t="str">
        <f>VLOOKUP($A64,[1]Sheet8!$B:$H,MATCH([1]recipes!G$1,[1]Sheet8!$B$1:$H$1,0),0)</f>
        <v>https://www.instagram.com/p/CLjCbRfpkH0/</v>
      </c>
    </row>
    <row r="65" spans="1:7" x14ac:dyDescent="0.25">
      <c r="A65" t="s">
        <v>64</v>
      </c>
      <c r="B65" t="str">
        <f>VLOOKUP($A65,[1]Sheet8!$B:$H,MATCH([1]recipes!B$1,[1]Sheet8!$B$1:$H$1,0),0)</f>
        <v>Brown the butter over medium heat, stirring constantly until the butter begins to foam and turns a golden brown, emitting a nutty aroma. Make sure you only brown the butter lightly. When butter browns the liquid evaporates off which can dry out your dough. As soon as the butter starts to turn brown and smell nutty, take it off the heat to prevent any more liquid from escaping.  Take butter off the heat and allow to cool.
In a large mixing bowl combine the cooled brown butter, brown sugar, and white sugar. Beat until mixed together. Add in the egg, egg yolk, and vanilla extract. Mix well.
In separate bowl mix together the flour, salt and baking soda. Mix half the dry ingredients into the wet until everything comes together. Slowly add in the remaining flour a little bit at a time, stopping if the dough starts to get too dry.* Fold in the chocolate. Do not over mix.
Refrigerate the cookie dough for at least a half hour, or overnight.
When you are ready to bake the cookies, preheat the oven to 350°F and line a cookie sheet with parchment paper. Use a 1 ounce cookie scoop to scoop the cookie dough out into balls, placing them 2 inches apart on the prepared sheet. Bake for 11 minutes, or until the edges are just golden brown and the centers have puffed up but are still gooey.  You could place cookie dough scoops in the freezer if you want to bake later (within 3 months).
Allow to cool before eating!</v>
      </c>
      <c r="C65">
        <f>VLOOKUP($A65,[1]Sheet8!$B:$H,MATCH([1]recipes!C$1,[1]Sheet8!$B$1:$H$1,0),0)</f>
        <v>16</v>
      </c>
      <c r="D65">
        <f>VLOOKUP($A65,[1]Sheet8!$B:$H,MATCH([1]recipes!D$1,[1]Sheet8!$B$1:$H$1,0),0)</f>
        <v>0</v>
      </c>
      <c r="E65">
        <f>VLOOKUP($A65,[1]Sheet8!$B:$H,MATCH([1]recipes!E$1,[1]Sheet8!$B$1:$H$1,0),0)</f>
        <v>0</v>
      </c>
      <c r="F65" t="str">
        <f>VLOOKUP($A65,[1]Sheet8!$B:$H,MATCH([1]recipes!F$1,[1]Sheet8!$B$1:$H$1,0),0)</f>
        <v/>
      </c>
      <c r="G65" t="str">
        <f>VLOOKUP($A65,[1]Sheet8!$B:$H,MATCH([1]recipes!G$1,[1]Sheet8!$B$1:$H$1,0),0)</f>
        <v>https://bromabakery.com/best-chocolate-chip-cookies/</v>
      </c>
    </row>
    <row r="66" spans="1:7" x14ac:dyDescent="0.25">
      <c r="A66" t="s">
        <v>65</v>
      </c>
      <c r="B66" t="str">
        <f>VLOOKUP($A66,[1]Sheet8!$B:$H,MATCH([1]recipes!B$1,[1]Sheet8!$B$1:$H$1,0),0)</f>
        <v>1. Preheat the oven to 200°C and line a baking tray with baking paper.
2. Coarsely chop the broccoli (use the brighter part of the stem too), place in food processor and blend until you have got a fine rice-like texture.
3. Measure 4 cups of the vegetable ‘rice’ and place in a mixing bowl.
4. Add ground almonds, salt and pepper (plus herbs, if using) and mix with your hands.
5. Make a well in the centre and add the eggs.
6. Whisk the eggs with a fork.
7. Use your hands to pull the dry ingredients towards the middle until everything is combined and you can shape it into a ball. It should be more loose and wet than a traditional bread dough.
8. Transfer to the baking paper and form into a rectangular base by flattening the dough with your hands.
9. Bake on the middle rack in the oven for 23-25 minutes or until slightly golden and firm.
10. Remove from the oven and let cool completely.
11. Turn it upside-down and carefully remove the baking paper.
12. Cut into bread-sized slices and store in the fridge.</v>
      </c>
      <c r="C66">
        <f>VLOOKUP($A66,[1]Sheet8!$B:$H,MATCH([1]recipes!C$1,[1]Sheet8!$B$1:$H$1,0),0)</f>
        <v>12</v>
      </c>
      <c r="D66">
        <f>VLOOKUP($A66,[1]Sheet8!$B:$H,MATCH([1]recipes!D$1,[1]Sheet8!$B$1:$H$1,0),0)</f>
        <v>0</v>
      </c>
      <c r="E66">
        <f>VLOOKUP($A66,[1]Sheet8!$B:$H,MATCH([1]recipes!E$1,[1]Sheet8!$B$1:$H$1,0),0)</f>
        <v>0</v>
      </c>
      <c r="F66">
        <f>VLOOKUP($A66,[1]Sheet8!$B:$H,MATCH([1]recipes!F$1,[1]Sheet8!$B$1:$H$1,0),0)</f>
        <v>45</v>
      </c>
      <c r="G66" t="str">
        <f>VLOOKUP($A66,[1]Sheet8!$B:$H,MATCH([1]recipes!G$1,[1]Sheet8!$B$1:$H$1,0),0)</f>
        <v>https://greenkitchenstories.com/vegetable-flatbreads/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Heyink</dc:creator>
  <cp:lastModifiedBy>Michael Heyink</cp:lastModifiedBy>
  <dcterms:created xsi:type="dcterms:W3CDTF">2026-01-06T06:08:11Z</dcterms:created>
  <dcterms:modified xsi:type="dcterms:W3CDTF">2026-01-10T08:50:56Z</dcterms:modified>
</cp:coreProperties>
</file>